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\Documents\DIVISION ACADEMICA\LISTAS\LISTAS-2026-3\"/>
    </mc:Choice>
  </mc:AlternateContent>
  <bookViews>
    <workbookView xWindow="0" yWindow="0" windowWidth="20490" windowHeight="7650" firstSheet="1" activeTab="5"/>
  </bookViews>
  <sheets>
    <sheet name="MKT 101 MAT" sheetId="1" r:id="rId1"/>
    <sheet name="MKT 102 MAT" sheetId="2" r:id="rId2"/>
    <sheet name="MKT 103 MAT" sheetId="3" r:id="rId3"/>
    <sheet name="MKT 105 VESP" sheetId="4" r:id="rId4"/>
    <sheet name="MKT 106 VESP " sheetId="5" r:id="rId5"/>
    <sheet name="MKT 107 VESP " sheetId="6" r:id="rId6"/>
  </sheets>
  <externalReferences>
    <externalReference r:id="rId7"/>
  </externalReferences>
  <definedNames>
    <definedName name="_xlnm._FilterDatabase" localSheetId="0" hidden="1">'MKT 101 MAT'!$B$17:$G$51</definedName>
    <definedName name="_xlnm._FilterDatabase" localSheetId="1" hidden="1">'MKT 102 MAT'!$B$17:$G$51</definedName>
    <definedName name="_xlnm._FilterDatabase" localSheetId="2" hidden="1">'MKT 103 MAT'!$B$17:$G$51</definedName>
    <definedName name="_xlnm._FilterDatabase" localSheetId="3" hidden="1">'MKT 105 VESP'!$B$17:$G$51</definedName>
    <definedName name="_xlnm._FilterDatabase" localSheetId="4" hidden="1">'MKT 106 VESP '!$B$17:$G$50</definedName>
    <definedName name="_xlnm._FilterDatabase" localSheetId="5" hidden="1">'MKT 107 VESP '!$B$17:$G$51</definedName>
    <definedName name="_xlnm.Print_Area" localSheetId="0">'MKT 101 MAT'!$A$1:$AP$60</definedName>
    <definedName name="_xlnm.Print_Area" localSheetId="1">'MKT 102 MAT'!$A$1:$AP$60</definedName>
    <definedName name="_xlnm.Print_Area" localSheetId="2">'MKT 103 MAT'!$A$1:$AP$60</definedName>
    <definedName name="_xlnm.Print_Area" localSheetId="3">'MKT 105 VESP'!$A$1:$AP$60</definedName>
    <definedName name="_xlnm.Print_Area" localSheetId="4">'MKT 106 VESP '!$A$1:$AP$59</definedName>
    <definedName name="_xlnm.Print_Area" localSheetId="5">'MKT 107 VESP '!$A$1:$AP$60</definedName>
    <definedName name="MATPAG20202" localSheetId="0">#REF!</definedName>
    <definedName name="MATPAG20202" localSheetId="1">#REF!</definedName>
    <definedName name="MATPAG20202" localSheetId="2">#REF!</definedName>
    <definedName name="MATPAG20202" localSheetId="3">#REF!</definedName>
    <definedName name="MATPAG20202" localSheetId="4">#REF!</definedName>
    <definedName name="MATPAG20202" localSheetId="5">#REF!</definedName>
    <definedName name="MATPAG20202">#REF!</definedName>
    <definedName name="MATPAG20203" localSheetId="0">#REF!</definedName>
    <definedName name="MATPAG20203" localSheetId="1">#REF!</definedName>
    <definedName name="MATPAG20203" localSheetId="2">#REF!</definedName>
    <definedName name="MATPAG20203" localSheetId="3">#REF!</definedName>
    <definedName name="MATPAG20203" localSheetId="4">#REF!</definedName>
    <definedName name="MATPAG20203" localSheetId="5">#REF!</definedName>
    <definedName name="MATPAG20203">#REF!</definedName>
    <definedName name="MATPAG20211" localSheetId="0">#REF!</definedName>
    <definedName name="MATPAG20211" localSheetId="1">#REF!</definedName>
    <definedName name="MATPAG20211" localSheetId="2">#REF!</definedName>
    <definedName name="MATPAG20211" localSheetId="3">#REF!</definedName>
    <definedName name="MATPAG20211" localSheetId="4">#REF!</definedName>
    <definedName name="MATPAG20211" localSheetId="5">#REF!</definedName>
    <definedName name="MATPAG20211">#REF!</definedName>
    <definedName name="MATPAG20212" localSheetId="0">#REF!</definedName>
    <definedName name="MATPAG20212" localSheetId="1">#REF!</definedName>
    <definedName name="MATPAG20212" localSheetId="2">#REF!</definedName>
    <definedName name="MATPAG20212" localSheetId="3">#REF!</definedName>
    <definedName name="MATPAG20212" localSheetId="4">#REF!</definedName>
    <definedName name="MATPAG20212" localSheetId="5">#REF!</definedName>
    <definedName name="MATPAG20212">#REF!</definedName>
    <definedName name="MATPAG20221" localSheetId="0">#REF!</definedName>
    <definedName name="MATPAG20221" localSheetId="1">#REF!</definedName>
    <definedName name="MATPAG20221" localSheetId="2">#REF!</definedName>
    <definedName name="MATPAG20221" localSheetId="3">#REF!</definedName>
    <definedName name="MATPAG20221" localSheetId="4">#REF!</definedName>
    <definedName name="MATPAG20221" localSheetId="5">#REF!</definedName>
    <definedName name="MATPAG20221">#REF!</definedName>
    <definedName name="MATPAG20222" localSheetId="0">#REF!</definedName>
    <definedName name="MATPAG20222" localSheetId="1">#REF!</definedName>
    <definedName name="MATPAG20222" localSheetId="2">#REF!</definedName>
    <definedName name="MATPAG20222" localSheetId="3">#REF!</definedName>
    <definedName name="MATPAG20222" localSheetId="4">#REF!</definedName>
    <definedName name="MATPAG20222" localSheetId="5">#REF!</definedName>
    <definedName name="MATPAG20222">#REF!</definedName>
    <definedName name="MATPAG20223" localSheetId="0">'[1]INSCRITOS Y REINSCRITOS'!#REF!</definedName>
    <definedName name="MATPAG20223" localSheetId="1">'[1]INSCRITOS Y REINSCRITOS'!#REF!</definedName>
    <definedName name="MATPAG20223" localSheetId="2">'[1]INSCRITOS Y REINSCRITOS'!#REF!</definedName>
    <definedName name="MATPAG20223" localSheetId="3">'[1]INSCRITOS Y REINSCRITOS'!#REF!</definedName>
    <definedName name="MATPAG20223" localSheetId="4">'[1]INSCRITOS Y REINSCRITOS'!#REF!</definedName>
    <definedName name="MATPAG20223" localSheetId="5">'[1]INSCRITOS Y REINSCRITOS'!#REF!</definedName>
    <definedName name="MATPAG20223">'[1]INSCRITOS Y REINSCRITOS'!#REF!</definedName>
    <definedName name="MATPAG20231" localSheetId="0">'[1]INSCRITOS Y REINSCRITOS'!#REF!</definedName>
    <definedName name="MATPAG20231" localSheetId="1">'[1]INSCRITOS Y REINSCRITOS'!#REF!</definedName>
    <definedName name="MATPAG20231" localSheetId="2">'[1]INSCRITOS Y REINSCRITOS'!#REF!</definedName>
    <definedName name="MATPAG20231" localSheetId="3">'[1]INSCRITOS Y REINSCRITOS'!#REF!</definedName>
    <definedName name="MATPAG20231" localSheetId="4">'[1]INSCRITOS Y REINSCRITOS'!#REF!</definedName>
    <definedName name="MATPAG20231" localSheetId="5">'[1]INSCRITOS Y REINSCRITOS'!#REF!</definedName>
    <definedName name="MATPAG20231">'[1]INSCRITOS Y REINSCRITOS'!#REF!</definedName>
    <definedName name="MATPAG20232" localSheetId="0">'[1]INSCRITOS Y REINSCRITOS'!#REF!</definedName>
    <definedName name="MATPAG20232" localSheetId="1">'[1]INSCRITOS Y REINSCRITOS'!#REF!</definedName>
    <definedName name="MATPAG20232" localSheetId="2">'[1]INSCRITOS Y REINSCRITOS'!#REF!</definedName>
    <definedName name="MATPAG20232" localSheetId="3">'[1]INSCRITOS Y REINSCRITOS'!#REF!</definedName>
    <definedName name="MATPAG20232" localSheetId="4">'[1]INSCRITOS Y REINSCRITOS'!#REF!</definedName>
    <definedName name="MATPAG20232" localSheetId="5">'[1]INSCRITOS Y REINSCRITOS'!#REF!</definedName>
    <definedName name="MATPAG20232">'[1]INSCRITOS Y REINSCRITOS'!#REF!</definedName>
    <definedName name="MATPAG20233" localSheetId="0">'[1]INSCRITOS Y REINSCRITOS'!#REF!</definedName>
    <definedName name="MATPAG20233" localSheetId="1">'[1]INSCRITOS Y REINSCRITOS'!#REF!</definedName>
    <definedName name="MATPAG20233" localSheetId="2">'[1]INSCRITOS Y REINSCRITOS'!#REF!</definedName>
    <definedName name="MATPAG20233" localSheetId="3">'[1]INSCRITOS Y REINSCRITOS'!#REF!</definedName>
    <definedName name="MATPAG20233" localSheetId="4">'[1]INSCRITOS Y REINSCRITOS'!#REF!</definedName>
    <definedName name="MATPAG20233" localSheetId="5">'[1]INSCRITOS Y REINSCRITOS'!#REF!</definedName>
    <definedName name="MATPAG20233">'[1]INSCRITOS Y REINSCRITOS'!#REF!</definedName>
    <definedName name="MATPAGO20213" localSheetId="0">#REF!</definedName>
    <definedName name="MATPAGO20213" localSheetId="1">#REF!</definedName>
    <definedName name="MATPAGO20213" localSheetId="2">#REF!</definedName>
    <definedName name="MATPAGO20213" localSheetId="3">#REF!</definedName>
    <definedName name="MATPAGO20213" localSheetId="4">#REF!</definedName>
    <definedName name="MATPAGO20213" localSheetId="5">#REF!</definedName>
    <definedName name="MATPAGO20213">#REF!</definedName>
    <definedName name="MATPAGO20221" localSheetId="0">#REF!</definedName>
    <definedName name="MATPAGO20221" localSheetId="1">#REF!</definedName>
    <definedName name="MATPAGO20221" localSheetId="2">#REF!</definedName>
    <definedName name="MATPAGO20221" localSheetId="3">#REF!</definedName>
    <definedName name="MATPAGO20221" localSheetId="4">#REF!</definedName>
    <definedName name="MATPAGO20221" localSheetId="5">#REF!</definedName>
    <definedName name="MATPAGO20221">#REF!</definedName>
    <definedName name="MATRICULA" localSheetId="0">#REF!</definedName>
    <definedName name="MATRICULA" localSheetId="1">#REF!</definedName>
    <definedName name="MATRICULA" localSheetId="2">#REF!</definedName>
    <definedName name="MATRICULA" localSheetId="3">#REF!</definedName>
    <definedName name="MATRICULA" localSheetId="4">#REF!</definedName>
    <definedName name="MATRICULA" localSheetId="5">#REF!</definedName>
    <definedName name="MATRICULA">#REF!</definedName>
    <definedName name="X" localSheetId="0">#REF!</definedName>
    <definedName name="X" localSheetId="1">#REF!</definedName>
    <definedName name="X" localSheetId="2">#REF!</definedName>
    <definedName name="X" localSheetId="3">#REF!</definedName>
    <definedName name="X" localSheetId="4">#REF!</definedName>
    <definedName name="X" localSheetId="5">#REF!</definedName>
    <definedName name="X">#REF!</definedName>
    <definedName name="XX" localSheetId="0">#REF!</definedName>
    <definedName name="XX" localSheetId="1">#REF!</definedName>
    <definedName name="XX" localSheetId="2">#REF!</definedName>
    <definedName name="XX" localSheetId="3">#REF!</definedName>
    <definedName name="XX" localSheetId="4">#REF!</definedName>
    <definedName name="XX" localSheetId="5">#REF!</definedName>
    <definedName name="XX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6" l="1"/>
  <c r="E54" i="6"/>
  <c r="E53" i="6"/>
  <c r="E52" i="6"/>
  <c r="C8" i="6"/>
  <c r="G54" i="5"/>
  <c r="E52" i="5"/>
  <c r="E51" i="5"/>
  <c r="E53" i="5" s="1"/>
  <c r="C8" i="5"/>
  <c r="G55" i="4"/>
  <c r="E53" i="4"/>
  <c r="E54" i="4" s="1"/>
  <c r="E52" i="4"/>
  <c r="C8" i="4"/>
  <c r="G55" i="3"/>
  <c r="E54" i="3"/>
  <c r="E53" i="3"/>
  <c r="E52" i="3"/>
  <c r="C8" i="3"/>
  <c r="G55" i="2"/>
  <c r="E53" i="2"/>
  <c r="E52" i="2"/>
  <c r="E54" i="2" s="1"/>
  <c r="C8" i="2"/>
  <c r="G55" i="1"/>
  <c r="E53" i="1"/>
  <c r="E52" i="1"/>
  <c r="E54" i="1" s="1"/>
  <c r="C8" i="1"/>
</calcChain>
</file>

<file path=xl/sharedStrings.xml><?xml version="1.0" encoding="utf-8"?>
<sst xmlns="http://schemas.openxmlformats.org/spreadsheetml/2006/main" count="1182" uniqueCount="661">
  <si>
    <t>NA</t>
  </si>
  <si>
    <t>NuMERO DE ASISTENCIAS</t>
  </si>
  <si>
    <t>CARRERA:</t>
  </si>
  <si>
    <t>TSU. MERCADOTECNIA</t>
  </si>
  <si>
    <t xml:space="preserve">LISTA DE ASISTENCIA </t>
  </si>
  <si>
    <t>NI</t>
  </si>
  <si>
    <t>NuMERO DE INASISTENCIAS</t>
  </si>
  <si>
    <t>ASIGNATURA:</t>
  </si>
  <si>
    <t xml:space="preserve">%  </t>
  </si>
  <si>
    <t>PORCENTAJE DE ASISTENCIAS</t>
  </si>
  <si>
    <t>CUATRIMESTRE:</t>
  </si>
  <si>
    <t>S</t>
  </si>
  <si>
    <t>SABER</t>
  </si>
  <si>
    <t>PROFESOR(A):</t>
  </si>
  <si>
    <t>SH</t>
  </si>
  <si>
    <t>SABER HACER</t>
  </si>
  <si>
    <t>GRUPO:</t>
  </si>
  <si>
    <t>MKT 101 MATUTINO</t>
  </si>
  <si>
    <t>SM</t>
  </si>
  <si>
    <t xml:space="preserve"> S + SH</t>
  </si>
  <si>
    <t>PERiODO:</t>
  </si>
  <si>
    <t>Del :                                                           Al:</t>
  </si>
  <si>
    <t>SS</t>
  </si>
  <si>
    <t>SABER SER</t>
  </si>
  <si>
    <t>CP</t>
  </si>
  <si>
    <t>CALIFICACIoN PERIODO</t>
  </si>
  <si>
    <t>Dia</t>
  </si>
  <si>
    <t>%</t>
  </si>
  <si>
    <t>Fimra de enterado del alumno</t>
  </si>
  <si>
    <t>No.</t>
  </si>
  <si>
    <t xml:space="preserve"> MATRiCULA </t>
  </si>
  <si>
    <t>APELLIDO PATERNO</t>
  </si>
  <si>
    <t>APELLIDO MATERNO</t>
  </si>
  <si>
    <t>NOMBRE(S)</t>
  </si>
  <si>
    <t>26311070</t>
  </si>
  <si>
    <t xml:space="preserve">ACEVEDO </t>
  </si>
  <si>
    <t>HERRERA</t>
  </si>
  <si>
    <t>EVELYN JAQUELINE</t>
  </si>
  <si>
    <t>M</t>
  </si>
  <si>
    <t>26311001</t>
  </si>
  <si>
    <t>ALMARAZ</t>
  </si>
  <si>
    <t>INCLAN</t>
  </si>
  <si>
    <t>SERGIO YAEL</t>
  </si>
  <si>
    <t>H</t>
  </si>
  <si>
    <t>26311075</t>
  </si>
  <si>
    <t xml:space="preserve">ÁLVAREZ </t>
  </si>
  <si>
    <t xml:space="preserve">SÁNCHEZ </t>
  </si>
  <si>
    <t>ELISA YAZMIN</t>
  </si>
  <si>
    <t>26311006</t>
  </si>
  <si>
    <t xml:space="preserve">BARRERA </t>
  </si>
  <si>
    <t xml:space="preserve">MACIAS </t>
  </si>
  <si>
    <t>JOSE GUADALUPE</t>
  </si>
  <si>
    <t>26311088</t>
  </si>
  <si>
    <t>CALDERON</t>
  </si>
  <si>
    <t>CONTRERAS</t>
  </si>
  <si>
    <t>YESICA SELENE</t>
  </si>
  <si>
    <t>26311089</t>
  </si>
  <si>
    <t>CEREZO</t>
  </si>
  <si>
    <t>LOPEZ</t>
  </si>
  <si>
    <t xml:space="preserve">NATALIA </t>
  </si>
  <si>
    <t>26311012</t>
  </si>
  <si>
    <t>COLIN</t>
  </si>
  <si>
    <t>CRUZ</t>
  </si>
  <si>
    <t>MARIA GUADALUPE</t>
  </si>
  <si>
    <t>26311101</t>
  </si>
  <si>
    <t>ESCAMILLA</t>
  </si>
  <si>
    <t xml:space="preserve">GUERRERO </t>
  </si>
  <si>
    <t xml:space="preserve">YEIMI MARIANA </t>
  </si>
  <si>
    <t>26311018</t>
  </si>
  <si>
    <t>FRAGOSO</t>
  </si>
  <si>
    <t>ROJAS</t>
  </si>
  <si>
    <t>LEONARDO FARID</t>
  </si>
  <si>
    <t>26311021</t>
  </si>
  <si>
    <t>GARCIA</t>
  </si>
  <si>
    <t xml:space="preserve">SOTO </t>
  </si>
  <si>
    <t>MIGUEL ANGEL</t>
  </si>
  <si>
    <t>26311114</t>
  </si>
  <si>
    <t>GONZALEZ</t>
  </si>
  <si>
    <t>FUENTES</t>
  </si>
  <si>
    <t>KARLA AYLIN</t>
  </si>
  <si>
    <t>26311025</t>
  </si>
  <si>
    <t xml:space="preserve">GUDIÑO </t>
  </si>
  <si>
    <t xml:space="preserve">VAZQUEZ </t>
  </si>
  <si>
    <t xml:space="preserve">ABIGAIL </t>
  </si>
  <si>
    <t>HERNANDEZ</t>
  </si>
  <si>
    <t>FLORES</t>
  </si>
  <si>
    <t>FATIMA ARELI</t>
  </si>
  <si>
    <t>26311027</t>
  </si>
  <si>
    <t xml:space="preserve">HERNANDEZ </t>
  </si>
  <si>
    <t>ALVAREZ</t>
  </si>
  <si>
    <t>EVELYN</t>
  </si>
  <si>
    <t>26311129</t>
  </si>
  <si>
    <t>LOBATO</t>
  </si>
  <si>
    <t>MARTINEZ</t>
  </si>
  <si>
    <t>DANIELA</t>
  </si>
  <si>
    <t>26311134</t>
  </si>
  <si>
    <t xml:space="preserve">LOPEZ </t>
  </si>
  <si>
    <t>TINOCO</t>
  </si>
  <si>
    <t xml:space="preserve">RAUL ALEJANDRO </t>
  </si>
  <si>
    <t>26311069</t>
  </si>
  <si>
    <t>BLAS</t>
  </si>
  <si>
    <t xml:space="preserve">KAREN ARELI </t>
  </si>
  <si>
    <t>26311142</t>
  </si>
  <si>
    <t>MONROY</t>
  </si>
  <si>
    <t xml:space="preserve">CARRANZA </t>
  </si>
  <si>
    <t xml:space="preserve">CINTHYA ANGELICA </t>
  </si>
  <si>
    <t>26311037</t>
  </si>
  <si>
    <t xml:space="preserve">MORALES </t>
  </si>
  <si>
    <t xml:space="preserve">ORTEGA </t>
  </si>
  <si>
    <t xml:space="preserve">HUGO ALEXIS </t>
  </si>
  <si>
    <t>26311038</t>
  </si>
  <si>
    <t>NIETO</t>
  </si>
  <si>
    <t>SANTILLAN</t>
  </si>
  <si>
    <t>JARETZI</t>
  </si>
  <si>
    <t>26311040</t>
  </si>
  <si>
    <t xml:space="preserve">OLIVARES </t>
  </si>
  <si>
    <t>RIOS</t>
  </si>
  <si>
    <t xml:space="preserve">DULCE ATZIN </t>
  </si>
  <si>
    <t>26311152</t>
  </si>
  <si>
    <t>PERALES</t>
  </si>
  <si>
    <t>PADILLA</t>
  </si>
  <si>
    <t>STEPHANY</t>
  </si>
  <si>
    <t>26311043</t>
  </si>
  <si>
    <t xml:space="preserve">PULIDO </t>
  </si>
  <si>
    <t xml:space="preserve">BUENROSTRO </t>
  </si>
  <si>
    <t xml:space="preserve">SIDDHARTHA ALEXIS </t>
  </si>
  <si>
    <t>26311047</t>
  </si>
  <si>
    <t>REYES</t>
  </si>
  <si>
    <t xml:space="preserve">FRAGOSO </t>
  </si>
  <si>
    <t>ARANTZA ELENA</t>
  </si>
  <si>
    <t>26311165</t>
  </si>
  <si>
    <t>RODRIGUEZ</t>
  </si>
  <si>
    <t>RESENDIZ</t>
  </si>
  <si>
    <t>ABIGAIL</t>
  </si>
  <si>
    <t>26311055</t>
  </si>
  <si>
    <t>RUIZ</t>
  </si>
  <si>
    <t>OROZCO</t>
  </si>
  <si>
    <t>DAFNE PAOLA</t>
  </si>
  <si>
    <t>26311172</t>
  </si>
  <si>
    <t>SANCHEZ</t>
  </si>
  <si>
    <t>PEREZ</t>
  </si>
  <si>
    <t>ANDREA</t>
  </si>
  <si>
    <t>26311061</t>
  </si>
  <si>
    <t>TEJERO</t>
  </si>
  <si>
    <t>SALAZAR</t>
  </si>
  <si>
    <t>VALERIA</t>
  </si>
  <si>
    <t>26311066</t>
  </si>
  <si>
    <t xml:space="preserve">VARGAS </t>
  </si>
  <si>
    <t xml:space="preserve">AGUILAR </t>
  </si>
  <si>
    <t xml:space="preserve">JAMES BRAYAN </t>
  </si>
  <si>
    <t>26311068</t>
  </si>
  <si>
    <t xml:space="preserve">ZARZA </t>
  </si>
  <si>
    <t xml:space="preserve">JUAREZ </t>
  </si>
  <si>
    <t xml:space="preserve">NAOMI JOBANA </t>
  </si>
  <si>
    <t>FIRMA DEL PROFR(A).</t>
  </si>
  <si>
    <t>FIRMA DEL TUTOR</t>
  </si>
  <si>
    <t>MKT 102 MATUTINO</t>
  </si>
  <si>
    <t>26311000</t>
  </si>
  <si>
    <t>ACOSTA</t>
  </si>
  <si>
    <t>ROSALES</t>
  </si>
  <si>
    <t>BRISEIDA ABRIL</t>
  </si>
  <si>
    <t>ACEVES</t>
  </si>
  <si>
    <t>CAMPOS</t>
  </si>
  <si>
    <t>LITZA SUZETH</t>
  </si>
  <si>
    <t>26311002</t>
  </si>
  <si>
    <t>LUIS ALFONSO</t>
  </si>
  <si>
    <t>26311080</t>
  </si>
  <si>
    <t xml:space="preserve">ARVIZU </t>
  </si>
  <si>
    <t xml:space="preserve">PAEZ </t>
  </si>
  <si>
    <t xml:space="preserve">KARLA NAOMY </t>
  </si>
  <si>
    <t>26311084</t>
  </si>
  <si>
    <t>BECERRIL</t>
  </si>
  <si>
    <t xml:space="preserve">PÉREZ </t>
  </si>
  <si>
    <t xml:space="preserve">VALERIA </t>
  </si>
  <si>
    <t>26311009</t>
  </si>
  <si>
    <t>CARDONA</t>
  </si>
  <si>
    <t>SEVILLA</t>
  </si>
  <si>
    <t>ALDO JOVANNI</t>
  </si>
  <si>
    <t>26311093</t>
  </si>
  <si>
    <t>CHAVEZ</t>
  </si>
  <si>
    <t>OLVERA</t>
  </si>
  <si>
    <t>MARCO ALEJANDRO</t>
  </si>
  <si>
    <t>26311014</t>
  </si>
  <si>
    <t xml:space="preserve">DOMINGUEZ </t>
  </si>
  <si>
    <t>JUAREZ</t>
  </si>
  <si>
    <t xml:space="preserve">DANNA SOPHIA </t>
  </si>
  <si>
    <t>26311105</t>
  </si>
  <si>
    <t xml:space="preserve">ESTRADA </t>
  </si>
  <si>
    <t>RAMIREZ</t>
  </si>
  <si>
    <t>JIMENA</t>
  </si>
  <si>
    <t>26311109</t>
  </si>
  <si>
    <t xml:space="preserve">GALLEGOS </t>
  </si>
  <si>
    <t xml:space="preserve">ZAMORA </t>
  </si>
  <si>
    <t xml:space="preserve">DIEGO YAEL </t>
  </si>
  <si>
    <t>26311019</t>
  </si>
  <si>
    <t xml:space="preserve">GARCIA </t>
  </si>
  <si>
    <t xml:space="preserve">ALEXIS </t>
  </si>
  <si>
    <t>26311115</t>
  </si>
  <si>
    <t xml:space="preserve">GONZÁLEZ </t>
  </si>
  <si>
    <t xml:space="preserve">LABASTIDA </t>
  </si>
  <si>
    <t xml:space="preserve">ROXANA JIMENA </t>
  </si>
  <si>
    <t>26311118</t>
  </si>
  <si>
    <t>GUTIERRÉZ</t>
  </si>
  <si>
    <t>LUGO</t>
  </si>
  <si>
    <t>MARCO ANTONIO</t>
  </si>
  <si>
    <t>26311028</t>
  </si>
  <si>
    <t>NIEVA</t>
  </si>
  <si>
    <t>DASHA DANIELA</t>
  </si>
  <si>
    <t>26311132</t>
  </si>
  <si>
    <t>BELEN MERARI</t>
  </si>
  <si>
    <t>26311029</t>
  </si>
  <si>
    <t>LUNA</t>
  </si>
  <si>
    <t>ANGELES</t>
  </si>
  <si>
    <t>JONATHAN SAMUEL</t>
  </si>
  <si>
    <t>26311139</t>
  </si>
  <si>
    <t xml:space="preserve">MARTÍNEZ </t>
  </si>
  <si>
    <t xml:space="preserve">VALENCIA </t>
  </si>
  <si>
    <t xml:space="preserve">LIZBETH GUADALUPE </t>
  </si>
  <si>
    <t>26311035</t>
  </si>
  <si>
    <t xml:space="preserve">MONROY </t>
  </si>
  <si>
    <t xml:space="preserve">LOBATO </t>
  </si>
  <si>
    <t xml:space="preserve">ADELA </t>
  </si>
  <si>
    <t>26311144</t>
  </si>
  <si>
    <t>MORENO</t>
  </si>
  <si>
    <t>LESSLY BERENICE</t>
  </si>
  <si>
    <t>26311148</t>
  </si>
  <si>
    <t>OLALDE</t>
  </si>
  <si>
    <t>BERMUDEZ</t>
  </si>
  <si>
    <t>BEATRIZ</t>
  </si>
  <si>
    <t>26311041</t>
  </si>
  <si>
    <t>PALOMINO</t>
  </si>
  <si>
    <t xml:space="preserve">JOSEF IAN ABRAHAM </t>
  </si>
  <si>
    <t>26311153</t>
  </si>
  <si>
    <t>PAOLA SOFIA</t>
  </si>
  <si>
    <t>26311045</t>
  </si>
  <si>
    <t>CANO</t>
  </si>
  <si>
    <t>DULCE VALERIA</t>
  </si>
  <si>
    <t>26311161</t>
  </si>
  <si>
    <t xml:space="preserve">RIVERA </t>
  </si>
  <si>
    <t xml:space="preserve">IBARRA </t>
  </si>
  <si>
    <t xml:space="preserve">AIMEÉ SARAI </t>
  </si>
  <si>
    <t>26311167</t>
  </si>
  <si>
    <t>ROSAS</t>
  </si>
  <si>
    <t>JESSICA</t>
  </si>
  <si>
    <t>26311056</t>
  </si>
  <si>
    <t xml:space="preserve">SABINO </t>
  </si>
  <si>
    <t>VIGUERAS</t>
  </si>
  <si>
    <t>ARELY CRISTAL</t>
  </si>
  <si>
    <t>26311171</t>
  </si>
  <si>
    <t xml:space="preserve">	GONZALEZ</t>
  </si>
  <si>
    <t>ARIEL OMAR</t>
  </si>
  <si>
    <t>26311062</t>
  </si>
  <si>
    <t>TOLSA</t>
  </si>
  <si>
    <t>LIZBETH ALONDRA</t>
  </si>
  <si>
    <t>26311180</t>
  </si>
  <si>
    <t>ZAMORA</t>
  </si>
  <si>
    <t>POLENCIANO</t>
  </si>
  <si>
    <t>JOSE ANGEL</t>
  </si>
  <si>
    <t>26311183</t>
  </si>
  <si>
    <t xml:space="preserve">ZUÑIGA </t>
  </si>
  <si>
    <t xml:space="preserve">GUTIERREZ </t>
  </si>
  <si>
    <t xml:space="preserve">RENATA </t>
  </si>
  <si>
    <t>MKT 103 MATUTINO</t>
  </si>
  <si>
    <t>26311071</t>
  </si>
  <si>
    <t>ALAMAN</t>
  </si>
  <si>
    <t>GRANADA</t>
  </si>
  <si>
    <t>JUAN BENJAMIN</t>
  </si>
  <si>
    <t>26311003</t>
  </si>
  <si>
    <t>PRIMERO</t>
  </si>
  <si>
    <t>ANDREA JAQUELINE</t>
  </si>
  <si>
    <t>26311082</t>
  </si>
  <si>
    <t>BARRERA</t>
  </si>
  <si>
    <t>VELAZQUEZ</t>
  </si>
  <si>
    <t>ANGEL DANIEL</t>
  </si>
  <si>
    <t>26311087</t>
  </si>
  <si>
    <t>BRIONES</t>
  </si>
  <si>
    <t>FERNÁNDEZ</t>
  </si>
  <si>
    <t>LIA SUNELI</t>
  </si>
  <si>
    <t>26311090</t>
  </si>
  <si>
    <t>CAYO</t>
  </si>
  <si>
    <t>FELIPE</t>
  </si>
  <si>
    <t>ANGELICA</t>
  </si>
  <si>
    <t>26311094</t>
  </si>
  <si>
    <t>VANESSA</t>
  </si>
  <si>
    <t>26311015</t>
  </si>
  <si>
    <t xml:space="preserve">ERASTO </t>
  </si>
  <si>
    <t xml:space="preserve">SAMUEL ADAN </t>
  </si>
  <si>
    <t>26311106</t>
  </si>
  <si>
    <t>MELANIE MAYRIN</t>
  </si>
  <si>
    <t>26311107</t>
  </si>
  <si>
    <t>GALAN</t>
  </si>
  <si>
    <t>RAMOS</t>
  </si>
  <si>
    <t>JORGE</t>
  </si>
  <si>
    <t>26311020</t>
  </si>
  <si>
    <t>MENDOZA</t>
  </si>
  <si>
    <t>ISAAC ENRIQUE</t>
  </si>
  <si>
    <t>26311024</t>
  </si>
  <si>
    <t>GOMEZ</t>
  </si>
  <si>
    <t>JULIO MARCELO</t>
  </si>
  <si>
    <t>26311117</t>
  </si>
  <si>
    <t>ESTRELLA</t>
  </si>
  <si>
    <t>26311119</t>
  </si>
  <si>
    <t>HERNÁNDEZ</t>
  </si>
  <si>
    <t>FERRER</t>
  </si>
  <si>
    <t>ZAHIRY JATZEL</t>
  </si>
  <si>
    <t>26311127</t>
  </si>
  <si>
    <t>LAZCANO</t>
  </si>
  <si>
    <t>ARIADNA GUADALUPE</t>
  </si>
  <si>
    <t>26311133</t>
  </si>
  <si>
    <t>ROBLEDO</t>
  </si>
  <si>
    <t>ISRAEL SANTIAGO</t>
  </si>
  <si>
    <t>26311030</t>
  </si>
  <si>
    <t xml:space="preserve">MACOCO </t>
  </si>
  <si>
    <t>JESUS ALEXIS</t>
  </si>
  <si>
    <t>26311034</t>
  </si>
  <si>
    <t>MELENDEZ</t>
  </si>
  <si>
    <t>DANIELA MONSERRAT</t>
  </si>
  <si>
    <t>26311143</t>
  </si>
  <si>
    <t>MORALES</t>
  </si>
  <si>
    <t xml:space="preserve">XITLALI GETHSEMANE </t>
  </si>
  <si>
    <t>26311036</t>
  </si>
  <si>
    <t>MUÑOZ</t>
  </si>
  <si>
    <t>SOFIA</t>
  </si>
  <si>
    <t>26311039</t>
  </si>
  <si>
    <t>OLIVARES</t>
  </si>
  <si>
    <t>ADRIANA SINAI</t>
  </si>
  <si>
    <t>26311151</t>
  </si>
  <si>
    <t>PEÑA</t>
  </si>
  <si>
    <t>VALDIVIA</t>
  </si>
  <si>
    <t>ESMERALDA GUADALUPE</t>
  </si>
  <si>
    <t>26311156</t>
  </si>
  <si>
    <t>PIÑA</t>
  </si>
  <si>
    <t>CARMONA</t>
  </si>
  <si>
    <t>LEONEL</t>
  </si>
  <si>
    <t>26311158</t>
  </si>
  <si>
    <t xml:space="preserve">ANGELES EDITH </t>
  </si>
  <si>
    <t>26311048</t>
  </si>
  <si>
    <t>MELANI SOFIA</t>
  </si>
  <si>
    <t>26311168</t>
  </si>
  <si>
    <t>TERESA NAOMI</t>
  </si>
  <si>
    <t>26311057</t>
  </si>
  <si>
    <t>SALGUERO</t>
  </si>
  <si>
    <t>EVELIN ITZAE</t>
  </si>
  <si>
    <t>26311058</t>
  </si>
  <si>
    <t>SANDOVAL</t>
  </si>
  <si>
    <t>SUAREZ</t>
  </si>
  <si>
    <t>MENDEZ</t>
  </si>
  <si>
    <t>SAMUEL PHILLIPE</t>
  </si>
  <si>
    <t>26311063</t>
  </si>
  <si>
    <t xml:space="preserve">TORRES </t>
  </si>
  <si>
    <t xml:space="preserve">CONTRERAS </t>
  </si>
  <si>
    <t xml:space="preserve">VALERY RUBI </t>
  </si>
  <si>
    <t>26311181</t>
  </si>
  <si>
    <t>TREJO</t>
  </si>
  <si>
    <t>URIEL ALEJANDRO</t>
  </si>
  <si>
    <t>MKT 105 VESPERTINO</t>
  </si>
  <si>
    <t>26311072</t>
  </si>
  <si>
    <t>ALCANTARA</t>
  </si>
  <si>
    <t>ESTEFANI MONSERRATH</t>
  </si>
  <si>
    <t>26311076</t>
  </si>
  <si>
    <t>CEDILLO</t>
  </si>
  <si>
    <t>ALAN GUSTAVO</t>
  </si>
  <si>
    <t>26311077</t>
  </si>
  <si>
    <t>ARIAS</t>
  </si>
  <si>
    <t>DE LA CRUZ</t>
  </si>
  <si>
    <t>ROSA MARIA</t>
  </si>
  <si>
    <t>26311081</t>
  </si>
  <si>
    <t xml:space="preserve">AYALA </t>
  </si>
  <si>
    <t xml:space="preserve">DAIRY YANARA </t>
  </si>
  <si>
    <t>26311085</t>
  </si>
  <si>
    <t>BERRIOZABAL</t>
  </si>
  <si>
    <t>26311010</t>
  </si>
  <si>
    <t xml:space="preserve">CASIMIRO </t>
  </si>
  <si>
    <t>BAUTISTA</t>
  </si>
  <si>
    <t>DILAN BARUECH</t>
  </si>
  <si>
    <t>26311092</t>
  </si>
  <si>
    <t>CHAVERRIA</t>
  </si>
  <si>
    <t>KEVIN ALEXANDER</t>
  </si>
  <si>
    <t>26311096</t>
  </si>
  <si>
    <t>GUTIERREZ</t>
  </si>
  <si>
    <t>LUIS EDUARDO</t>
  </si>
  <si>
    <t>26311099</t>
  </si>
  <si>
    <t>DIONICIO</t>
  </si>
  <si>
    <t>JIMENEZ</t>
  </si>
  <si>
    <t>ESTEFANY</t>
  </si>
  <si>
    <t>26311103</t>
  </si>
  <si>
    <t>ESPINOSA</t>
  </si>
  <si>
    <t>SALDAÑA</t>
  </si>
  <si>
    <t>WENDY EVELYN</t>
  </si>
  <si>
    <t>26311017</t>
  </si>
  <si>
    <t>OLIVO</t>
  </si>
  <si>
    <t>VALERIA JAMILET</t>
  </si>
  <si>
    <t>26311110</t>
  </si>
  <si>
    <t>GALVAN</t>
  </si>
  <si>
    <t>SANTOS</t>
  </si>
  <si>
    <t>26311022</t>
  </si>
  <si>
    <t>VENZOR</t>
  </si>
  <si>
    <t>YOLOTZIN SUNDURI</t>
  </si>
  <si>
    <t>26311116</t>
  </si>
  <si>
    <t xml:space="preserve">GONZALEZ </t>
  </si>
  <si>
    <t xml:space="preserve">SILVERIO </t>
  </si>
  <si>
    <t xml:space="preserve">LENDY ESMERALDA </t>
  </si>
  <si>
    <t>26311121</t>
  </si>
  <si>
    <t>ZULEMA YAMILETH</t>
  </si>
  <si>
    <t>26311120</t>
  </si>
  <si>
    <t xml:space="preserve">HERNÁNDEZ </t>
  </si>
  <si>
    <t xml:space="preserve">GARCÍA </t>
  </si>
  <si>
    <t xml:space="preserve">NÉSTOR ALI </t>
  </si>
  <si>
    <t>26311128</t>
  </si>
  <si>
    <t>LECHUGA</t>
  </si>
  <si>
    <t>26311130</t>
  </si>
  <si>
    <t xml:space="preserve">DEL ROSAL </t>
  </si>
  <si>
    <t xml:space="preserve">EDWIN </t>
  </si>
  <si>
    <t>26311033</t>
  </si>
  <si>
    <t>ROMAN</t>
  </si>
  <si>
    <t>AITANA</t>
  </si>
  <si>
    <t>26311138</t>
  </si>
  <si>
    <t xml:space="preserve">MARTINEZ </t>
  </si>
  <si>
    <t xml:space="preserve">MUÑOZ </t>
  </si>
  <si>
    <t xml:space="preserve">DAFNE ANAHI </t>
  </si>
  <si>
    <t>MEDEL</t>
  </si>
  <si>
    <t>CORTES</t>
  </si>
  <si>
    <t>CARLOS ENRIQUE</t>
  </si>
  <si>
    <t>26311141</t>
  </si>
  <si>
    <t xml:space="preserve">MOJICA </t>
  </si>
  <si>
    <t xml:space="preserve">RODRIGUEZ </t>
  </si>
  <si>
    <t>JONATHAN JAEL</t>
  </si>
  <si>
    <t>MOYA</t>
  </si>
  <si>
    <t>CHRISTOPHER RAUL</t>
  </si>
  <si>
    <t>26311147</t>
  </si>
  <si>
    <t>NERI</t>
  </si>
  <si>
    <t>VARGAS</t>
  </si>
  <si>
    <t xml:space="preserve">CHRISTIAN ADRIAN </t>
  </si>
  <si>
    <t>26311154</t>
  </si>
  <si>
    <t>HEFZIBA DAMARIS</t>
  </si>
  <si>
    <t>26311157</t>
  </si>
  <si>
    <t>DONOVAN UZIEL</t>
  </si>
  <si>
    <t>26311159</t>
  </si>
  <si>
    <t xml:space="preserve">RAMOS </t>
  </si>
  <si>
    <t>GUERRERO</t>
  </si>
  <si>
    <t>26311163</t>
  </si>
  <si>
    <t xml:space="preserve">MEDINA </t>
  </si>
  <si>
    <t>LAYNED NAOMI</t>
  </si>
  <si>
    <t>26311049</t>
  </si>
  <si>
    <t xml:space="preserve">ARGUETA </t>
  </si>
  <si>
    <t xml:space="preserve">JOHAN ULISES </t>
  </si>
  <si>
    <t>26311169</t>
  </si>
  <si>
    <t>MEDINA</t>
  </si>
  <si>
    <t xml:space="preserve">HATCIRY REGINA </t>
  </si>
  <si>
    <t>26311054</t>
  </si>
  <si>
    <t>BARCENAS</t>
  </si>
  <si>
    <t>BYRON EMILIANO</t>
  </si>
  <si>
    <t>26311060</t>
  </si>
  <si>
    <t xml:space="preserve">SILVA </t>
  </si>
  <si>
    <t>IRVING FERNANDO</t>
  </si>
  <si>
    <t>26311064</t>
  </si>
  <si>
    <t>TRON</t>
  </si>
  <si>
    <t xml:space="preserve">ZEPEDA </t>
  </si>
  <si>
    <t>MARIA DE LA PAZ</t>
  </si>
  <si>
    <t>26311177</t>
  </si>
  <si>
    <t>ZENEA</t>
  </si>
  <si>
    <t xml:space="preserve">DANIELA VALENTINA </t>
  </si>
  <si>
    <t>26311182</t>
  </si>
  <si>
    <t>ZAVALA</t>
  </si>
  <si>
    <t>JOSE EDUARDO</t>
  </si>
  <si>
    <t>MKT 106 VESPERTINO</t>
  </si>
  <si>
    <t>26311073</t>
  </si>
  <si>
    <t>ALMAZAN</t>
  </si>
  <si>
    <t>MAYRENI</t>
  </si>
  <si>
    <t>26311004</t>
  </si>
  <si>
    <t xml:space="preserve">ANTONIO </t>
  </si>
  <si>
    <t>ELIZABET</t>
  </si>
  <si>
    <t>26311078</t>
  </si>
  <si>
    <t>ARTEAGA</t>
  </si>
  <si>
    <t>MEJIA</t>
  </si>
  <si>
    <t>LENDSAY MAYRIN</t>
  </si>
  <si>
    <t>26311083</t>
  </si>
  <si>
    <t>BARRON</t>
  </si>
  <si>
    <t>ANGEL MANUEL</t>
  </si>
  <si>
    <t>26311008</t>
  </si>
  <si>
    <t>BONILLA</t>
  </si>
  <si>
    <t>OSVALDO GAEL</t>
  </si>
  <si>
    <t>26311011</t>
  </si>
  <si>
    <t>CEBALLOS</t>
  </si>
  <si>
    <t>GINES</t>
  </si>
  <si>
    <t>FRIDA IX ZOE</t>
  </si>
  <si>
    <t>26311095</t>
  </si>
  <si>
    <t xml:space="preserve">CORTES </t>
  </si>
  <si>
    <t xml:space="preserve">MIRELES </t>
  </si>
  <si>
    <t>YAEL ADRIAN</t>
  </si>
  <si>
    <t>26311013</t>
  </si>
  <si>
    <t xml:space="preserve">CRUZ </t>
  </si>
  <si>
    <t xml:space="preserve">ALMAZAN </t>
  </si>
  <si>
    <t xml:space="preserve">FRANCISCO ADAEL </t>
  </si>
  <si>
    <t>26311100</t>
  </si>
  <si>
    <t xml:space="preserve">DURANTE </t>
  </si>
  <si>
    <t>LUIS ALBERTO</t>
  </si>
  <si>
    <t>26311173</t>
  </si>
  <si>
    <t>ESPINOZA</t>
  </si>
  <si>
    <t>SANTIAGO</t>
  </si>
  <si>
    <t>26311111</t>
  </si>
  <si>
    <t>GAMEZ</t>
  </si>
  <si>
    <t>MONICA YAEL</t>
  </si>
  <si>
    <t>26311023</t>
  </si>
  <si>
    <t>BRISA</t>
  </si>
  <si>
    <t>26311026</t>
  </si>
  <si>
    <t>DOMINGUEZ</t>
  </si>
  <si>
    <t>26311122</t>
  </si>
  <si>
    <t>ANGEL</t>
  </si>
  <si>
    <t>26311124</t>
  </si>
  <si>
    <t>HIGUERA</t>
  </si>
  <si>
    <t>JOSSELYN GUADALUPE</t>
  </si>
  <si>
    <t>26311031</t>
  </si>
  <si>
    <t>MANILLA</t>
  </si>
  <si>
    <t>GODAR</t>
  </si>
  <si>
    <t>RODRIGO</t>
  </si>
  <si>
    <t>26311135</t>
  </si>
  <si>
    <t xml:space="preserve">BAXIN </t>
  </si>
  <si>
    <t xml:space="preserve">MARIANA </t>
  </si>
  <si>
    <t>26311137</t>
  </si>
  <si>
    <t xml:space="preserve">CARLOS </t>
  </si>
  <si>
    <t>26311145</t>
  </si>
  <si>
    <t xml:space="preserve">NARANJO </t>
  </si>
  <si>
    <t xml:space="preserve">CERÓN </t>
  </si>
  <si>
    <t xml:space="preserve">MARÍA FERNANDA </t>
  </si>
  <si>
    <t>26311149</t>
  </si>
  <si>
    <t xml:space="preserve">PACHECO </t>
  </si>
  <si>
    <t xml:space="preserve">TOLEDO </t>
  </si>
  <si>
    <t xml:space="preserve">DANIELA CITLALLI </t>
  </si>
  <si>
    <t>26311155</t>
  </si>
  <si>
    <t>HUERTA</t>
  </si>
  <si>
    <t>26311046</t>
  </si>
  <si>
    <t>SAMANTHA SARAHI</t>
  </si>
  <si>
    <t>26311160</t>
  </si>
  <si>
    <t>ESTRADA</t>
  </si>
  <si>
    <t>ANGEL GABRIEL</t>
  </si>
  <si>
    <t>26311164</t>
  </si>
  <si>
    <t>ROA</t>
  </si>
  <si>
    <t>LEON</t>
  </si>
  <si>
    <t>WILLIAM</t>
  </si>
  <si>
    <t>26311050</t>
  </si>
  <si>
    <t xml:space="preserve">DANNIEL ADRIANA </t>
  </si>
  <si>
    <t>26311052</t>
  </si>
  <si>
    <t xml:space="preserve">ROSAS </t>
  </si>
  <si>
    <t>DURAN</t>
  </si>
  <si>
    <t>26311170</t>
  </si>
  <si>
    <t>MEGAN DAGMARA</t>
  </si>
  <si>
    <t>26311174</t>
  </si>
  <si>
    <t>SOLIS</t>
  </si>
  <si>
    <t>BARRIOS</t>
  </si>
  <si>
    <t>JOSAFAT</t>
  </si>
  <si>
    <t>26311065</t>
  </si>
  <si>
    <t>MIRANDA</t>
  </si>
  <si>
    <t xml:space="preserve">NAOMI YARETZI </t>
  </si>
  <si>
    <t>VEGA</t>
  </si>
  <si>
    <t>LESLY ANAHI</t>
  </si>
  <si>
    <t>26311067</t>
  </si>
  <si>
    <t xml:space="preserve">VELAZQUEZ </t>
  </si>
  <si>
    <t xml:space="preserve">PEREZ </t>
  </si>
  <si>
    <t xml:space="preserve">JUAN JESUS </t>
  </si>
  <si>
    <t>DULCE TERESA</t>
  </si>
  <si>
    <t>MKT 107 VESPERTINO</t>
  </si>
  <si>
    <t>26311074</t>
  </si>
  <si>
    <t xml:space="preserve">ALVAREZ </t>
  </si>
  <si>
    <t xml:space="preserve">AMERICA BETZABETL </t>
  </si>
  <si>
    <t>26311005</t>
  </si>
  <si>
    <t xml:space="preserve">PONTIFES </t>
  </si>
  <si>
    <t xml:space="preserve">KARMI SHELI </t>
  </si>
  <si>
    <t>26311079</t>
  </si>
  <si>
    <t>CRISTAL</t>
  </si>
  <si>
    <t>26311007</t>
  </si>
  <si>
    <t>YAMILET</t>
  </si>
  <si>
    <t>26311086</t>
  </si>
  <si>
    <t>BRAVO</t>
  </si>
  <si>
    <t>NÚÑEZ</t>
  </si>
  <si>
    <t>OMAR</t>
  </si>
  <si>
    <t>26311091</t>
  </si>
  <si>
    <t>CERVANTES</t>
  </si>
  <si>
    <t>GASPAR</t>
  </si>
  <si>
    <t>DANNA IVONNE</t>
  </si>
  <si>
    <t>26311097</t>
  </si>
  <si>
    <t xml:space="preserve">CRISOSTOMO </t>
  </si>
  <si>
    <t>SEBASTIAN</t>
  </si>
  <si>
    <t>26311098</t>
  </si>
  <si>
    <t>DEL VALLE</t>
  </si>
  <si>
    <t>JENYFER</t>
  </si>
  <si>
    <t>26311016</t>
  </si>
  <si>
    <t xml:space="preserve">ESCOBAR </t>
  </si>
  <si>
    <t xml:space="preserve">LAURA </t>
  </si>
  <si>
    <t>26311104</t>
  </si>
  <si>
    <t xml:space="preserve">CERRITOS </t>
  </si>
  <si>
    <t>SAUL</t>
  </si>
  <si>
    <t>26311108</t>
  </si>
  <si>
    <t>GALINDO</t>
  </si>
  <si>
    <t>ANGEL URIEL</t>
  </si>
  <si>
    <t>26311112</t>
  </si>
  <si>
    <t>VAZQUEZ</t>
  </si>
  <si>
    <t>WENDY LUCERO</t>
  </si>
  <si>
    <t>26311113</t>
  </si>
  <si>
    <t xml:space="preserve">CASTRO </t>
  </si>
  <si>
    <t xml:space="preserve">NATALY YOSELIN </t>
  </si>
  <si>
    <t>26311126</t>
  </si>
  <si>
    <t xml:space="preserve">HAM </t>
  </si>
  <si>
    <t>ISIDRO</t>
  </si>
  <si>
    <t>JESSICA LEILANI</t>
  </si>
  <si>
    <t>26311123</t>
  </si>
  <si>
    <t>MARIA JOSE</t>
  </si>
  <si>
    <t>26311125</t>
  </si>
  <si>
    <t>HUITRÓN</t>
  </si>
  <si>
    <t>DULCE VERONICA</t>
  </si>
  <si>
    <t>26311131</t>
  </si>
  <si>
    <t>AMERICA MONTSERRAT</t>
  </si>
  <si>
    <t>26311136</t>
  </si>
  <si>
    <t>CIELO JAQUELIN</t>
  </si>
  <si>
    <t>CHRISTIAN JESUS</t>
  </si>
  <si>
    <t>26311032</t>
  </si>
  <si>
    <t xml:space="preserve">CERON </t>
  </si>
  <si>
    <t xml:space="preserve">LOUIS DANIEL </t>
  </si>
  <si>
    <t>26311140</t>
  </si>
  <si>
    <t>MENCHACA</t>
  </si>
  <si>
    <t xml:space="preserve">FATIMA </t>
  </si>
  <si>
    <t>26311146</t>
  </si>
  <si>
    <t>NAVA</t>
  </si>
  <si>
    <t>NUÑEZ</t>
  </si>
  <si>
    <t>LUIS FLAVIO</t>
  </si>
  <si>
    <t>26311150</t>
  </si>
  <si>
    <t>PALMA</t>
  </si>
  <si>
    <t>JESUS</t>
  </si>
  <si>
    <t>26311042</t>
  </si>
  <si>
    <t>PONCE</t>
  </si>
  <si>
    <t>ALBA</t>
  </si>
  <si>
    <t>IRVING ADRIAN</t>
  </si>
  <si>
    <t>26311044</t>
  </si>
  <si>
    <t xml:space="preserve">RAMIREZ </t>
  </si>
  <si>
    <t xml:space="preserve">BARAJAS </t>
  </si>
  <si>
    <t xml:space="preserve">ALLISON MYRIAM </t>
  </si>
  <si>
    <t>AGUSTIN</t>
  </si>
  <si>
    <t>RAFAEL</t>
  </si>
  <si>
    <t>26311162</t>
  </si>
  <si>
    <t>RIVERA</t>
  </si>
  <si>
    <t>JAGUEY</t>
  </si>
  <si>
    <t>DANYKA GERALDINE</t>
  </si>
  <si>
    <t>26311166</t>
  </si>
  <si>
    <t>BRITTANY JOSELIN</t>
  </si>
  <si>
    <t>26311051</t>
  </si>
  <si>
    <t>ALDANA</t>
  </si>
  <si>
    <t>JATZIRI</t>
  </si>
  <si>
    <t>26311053</t>
  </si>
  <si>
    <t>RUBIERA</t>
  </si>
  <si>
    <t>OAXACA</t>
  </si>
  <si>
    <t>VALERIA ARELI</t>
  </si>
  <si>
    <t>26311059</t>
  </si>
  <si>
    <t>26311175</t>
  </si>
  <si>
    <t>SOTELO</t>
  </si>
  <si>
    <t>MARIN</t>
  </si>
  <si>
    <t>MARELY</t>
  </si>
  <si>
    <t>26311176</t>
  </si>
  <si>
    <t>CABRERA</t>
  </si>
  <si>
    <t>BIANKA ATZIRY</t>
  </si>
  <si>
    <t>26311179</t>
  </si>
  <si>
    <t>ESTRELLA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</si>
</sst>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sz val="5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6"/>
      <color rgb="FFFF0000"/>
      <name val="Arial"/>
      <family val="2"/>
    </font>
    <font>
      <sz val="6"/>
      <color rgb="FFFFFFFF"/>
      <name val="Arial"/>
      <family val="2"/>
    </font>
    <font>
      <b/>
      <sz val="5"/>
      <color theme="1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color rgb="FFFFFFFF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6"/>
      <color rgb="FFFFFFFF"/>
      <name val="Arial"/>
      <family val="2"/>
    </font>
    <font>
      <sz val="12"/>
      <color theme="1"/>
      <name val="Arial Narrow"/>
      <family val="2"/>
    </font>
    <font>
      <sz val="12"/>
      <color rgb="FF000000"/>
      <name val="Arial"/>
      <family val="2"/>
    </font>
    <font>
      <sz val="5"/>
      <color theme="1"/>
      <name val="Arial Narrow"/>
      <family val="2"/>
    </font>
    <font>
      <sz val="8"/>
      <color theme="1"/>
      <name val="Arial Narrow"/>
      <family val="2"/>
    </font>
    <font>
      <sz val="9"/>
      <color theme="5"/>
      <name val="Arial"/>
      <family val="2"/>
    </font>
    <font>
      <b/>
      <sz val="10"/>
      <color rgb="FFFF0000"/>
      <name val="Arial"/>
      <family val="2"/>
    </font>
    <font>
      <sz val="6"/>
      <color theme="1"/>
      <name val="Arial Narrow"/>
      <family val="2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Arial Narrow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FF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/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" fontId="8" fillId="2" borderId="5" xfId="0" applyNumberFormat="1" applyFont="1" applyFill="1" applyBorder="1" applyAlignment="1">
      <alignment horizontal="left" vertical="center"/>
    </xf>
    <xf numFmtId="0" fontId="10" fillId="0" borderId="6" xfId="0" applyFont="1" applyBorder="1"/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0" fontId="13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5" fillId="0" borderId="11" xfId="0" applyFont="1" applyBorder="1" applyAlignment="1">
      <alignment horizontal="center" vertical="center"/>
    </xf>
    <xf numFmtId="0" fontId="16" fillId="0" borderId="12" xfId="0" applyFont="1" applyBorder="1"/>
    <xf numFmtId="0" fontId="16" fillId="0" borderId="13" xfId="0" applyFont="1" applyBorder="1"/>
    <xf numFmtId="0" fontId="9" fillId="0" borderId="0" xfId="0" applyFont="1" applyAlignment="1"/>
    <xf numFmtId="0" fontId="17" fillId="0" borderId="11" xfId="0" applyFont="1" applyBorder="1" applyAlignment="1">
      <alignment horizontal="center" vertical="center"/>
    </xf>
    <xf numFmtId="0" fontId="18" fillId="0" borderId="12" xfId="0" applyFont="1" applyBorder="1"/>
    <xf numFmtId="0" fontId="18" fillId="0" borderId="13" xfId="0" applyFont="1" applyBorder="1"/>
    <xf numFmtId="1" fontId="14" fillId="0" borderId="14" xfId="0" applyNumberFormat="1" applyFont="1" applyBorder="1" applyAlignment="1">
      <alignment horizontal="left" vertical="center"/>
    </xf>
    <xf numFmtId="1" fontId="19" fillId="0" borderId="3" xfId="0" applyNumberFormat="1" applyFont="1" applyBorder="1" applyAlignment="1">
      <alignment horizontal="left" vertical="center"/>
    </xf>
    <xf numFmtId="1" fontId="19" fillId="0" borderId="15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center"/>
    </xf>
    <xf numFmtId="9" fontId="8" fillId="0" borderId="5" xfId="0" applyNumberFormat="1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1" fontId="20" fillId="0" borderId="16" xfId="0" applyNumberFormat="1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21" fillId="0" borderId="0" xfId="0" applyFont="1" applyAlignment="1"/>
    <xf numFmtId="0" fontId="9" fillId="0" borderId="20" xfId="0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 applyAlignment="1"/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" fontId="4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7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4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22" xfId="0" applyFont="1" applyBorder="1" applyAlignment="1">
      <alignment vertical="center"/>
    </xf>
    <xf numFmtId="0" fontId="17" fillId="0" borderId="22" xfId="0" applyFont="1" applyFill="1" applyBorder="1" applyAlignment="1">
      <alignment horizontal="center"/>
    </xf>
    <xf numFmtId="0" fontId="17" fillId="0" borderId="22" xfId="0" applyFont="1" applyFill="1" applyBorder="1" applyAlignment="1">
      <alignment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25" fillId="0" borderId="25" xfId="0" applyFont="1" applyFill="1" applyBorder="1" applyAlignment="1">
      <alignment horizontal="left" vertical="center"/>
    </xf>
    <xf numFmtId="0" fontId="31" fillId="0" borderId="22" xfId="0" applyFont="1" applyFill="1" applyBorder="1" applyAlignment="1">
      <alignment horizontal="center" vertical="center"/>
    </xf>
    <xf numFmtId="0" fontId="17" fillId="0" borderId="25" xfId="0" applyFont="1" applyFill="1" applyBorder="1" applyAlignment="1"/>
    <xf numFmtId="0" fontId="17" fillId="0" borderId="25" xfId="0" applyFont="1" applyFill="1" applyBorder="1" applyAlignment="1">
      <alignment vertical="center"/>
    </xf>
    <xf numFmtId="0" fontId="32" fillId="0" borderId="0" xfId="0" applyFont="1"/>
    <xf numFmtId="0" fontId="1" fillId="0" borderId="1" xfId="0" applyFont="1" applyBorder="1" applyAlignment="1"/>
    <xf numFmtId="0" fontId="1" fillId="0" borderId="16" xfId="0" applyFont="1" applyBorder="1" applyAlignment="1">
      <alignment horizontal="center"/>
    </xf>
    <xf numFmtId="0" fontId="10" fillId="0" borderId="16" xfId="0" applyFont="1" applyBorder="1"/>
    <xf numFmtId="0" fontId="0" fillId="0" borderId="0" xfId="0" applyFont="1" applyFill="1" applyAlignment="1"/>
    <xf numFmtId="0" fontId="33" fillId="0" borderId="23" xfId="0" applyFont="1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/>
    </xf>
    <xf numFmtId="0" fontId="34" fillId="0" borderId="22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/>
    </xf>
    <xf numFmtId="0" fontId="13" fillId="0" borderId="22" xfId="0" applyFont="1" applyFill="1" applyBorder="1" applyAlignment="1">
      <alignment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34" fillId="0" borderId="25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3" fillId="0" borderId="25" xfId="0" applyFont="1" applyFill="1" applyBorder="1" applyAlignment="1"/>
    <xf numFmtId="0" fontId="13" fillId="0" borderId="2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32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S-%20LCS-LTT-MKT-LINYM-2026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CRITOS Y REINSCRITOS"/>
      <sheetName val="ALUMNOS CON FALTA DE PAGO"/>
      <sheetName val="ALUMNS NO ENCON EN SISTEMA"/>
      <sheetName val="AL 09MAYO2025"/>
      <sheetName val="LCS-101 MAT"/>
      <sheetName val="LCS-301 MAT"/>
      <sheetName val="LCS-401 MAT"/>
      <sheetName val="TYM 101 MAT "/>
      <sheetName val="TYM 102 VESP"/>
      <sheetName val="TYM 402 MAT"/>
      <sheetName val="TYM 403 MAT"/>
      <sheetName val="LILG 701 VESPERTINO"/>
      <sheetName val="LILG 702 VESPERTINO)"/>
      <sheetName val="LDGRLE 801 VESPERTINO"/>
      <sheetName val="LDGRLE 1001 VESPERTINO"/>
      <sheetName val="LDGRLE 1002 VESPERTINO"/>
      <sheetName val="MKT 101 MAT"/>
      <sheetName val="MKT 102 MAT"/>
      <sheetName val="MKT 103 MAT"/>
      <sheetName val="MKT 104 MAT"/>
      <sheetName val="MKT 105 VESP"/>
      <sheetName val="MKT 106 VESP "/>
      <sheetName val="MKT 107 VESP "/>
      <sheetName val="MKT 201 MAT"/>
      <sheetName val="MKT 301 MAT"/>
      <sheetName val="MKT 401 MAT"/>
      <sheetName val="MKT 402 MAT"/>
      <sheetName val="MKT 403 MAT"/>
      <sheetName val="MKT 404 MAT"/>
      <sheetName val="MKT 405 VESP"/>
      <sheetName val="MKT 406 VESP"/>
      <sheetName val="MKT501 MAT"/>
      <sheetName val="MKT601 ESTADIA"/>
      <sheetName val="FUSION"/>
      <sheetName val="LNYM 701 MATUTINO"/>
      <sheetName val="LNYM 702 MATUTINO"/>
      <sheetName val="LNYM 703 VESPERTINO"/>
      <sheetName val="LNYM 704 VESPERTINO"/>
      <sheetName val="LNYM 705 VESPERTINO"/>
      <sheetName val="LINYM 801 MATUTINO"/>
      <sheetName val="LINYM 802 VESPERTINO"/>
      <sheetName val="LINYM 901 VESPERTINO"/>
      <sheetName val="LINYM 1001 MATUTINO"/>
      <sheetName val="LINYM 1002 VESPERTINO"/>
      <sheetName val="LINYM 1003 VESPERTINO"/>
      <sheetName val="LINYM 1004 VESPERTINO"/>
      <sheetName val="LINYM 1005 VESPERTINO"/>
      <sheetName val="LINYM 11001 ESTADIA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 t="str">
            <v>2026-3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5"/>
  <sheetViews>
    <sheetView view="pageBreakPreview" zoomScale="140" zoomScaleNormal="85" zoomScaleSheetLayoutView="140" workbookViewId="0">
      <selection activeCell="E18" sqref="E18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17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58">
        <v>1</v>
      </c>
      <c r="B17" s="59" t="s">
        <v>34</v>
      </c>
      <c r="C17" s="60" t="s">
        <v>35</v>
      </c>
      <c r="D17" s="60" t="s">
        <v>36</v>
      </c>
      <c r="E17" s="60" t="s">
        <v>37</v>
      </c>
      <c r="F17" s="61" t="s">
        <v>38</v>
      </c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58">
        <v>2</v>
      </c>
      <c r="B18" s="59" t="s">
        <v>39</v>
      </c>
      <c r="C18" s="60" t="s">
        <v>40</v>
      </c>
      <c r="D18" s="60" t="s">
        <v>41</v>
      </c>
      <c r="E18" s="60" t="s">
        <v>42</v>
      </c>
      <c r="F18" s="61" t="s">
        <v>43</v>
      </c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">
      <c r="A19" s="58">
        <v>3</v>
      </c>
      <c r="B19" s="73" t="s">
        <v>44</v>
      </c>
      <c r="C19" s="74" t="s">
        <v>45</v>
      </c>
      <c r="D19" s="74" t="s">
        <v>46</v>
      </c>
      <c r="E19" s="74" t="s">
        <v>47</v>
      </c>
      <c r="F19" s="61" t="s">
        <v>38</v>
      </c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">
      <c r="A20" s="58">
        <v>4</v>
      </c>
      <c r="B20" s="75" t="s">
        <v>48</v>
      </c>
      <c r="C20" s="76" t="s">
        <v>49</v>
      </c>
      <c r="D20" s="76" t="s">
        <v>50</v>
      </c>
      <c r="E20" s="76" t="s">
        <v>51</v>
      </c>
      <c r="F20" s="61" t="s">
        <v>43</v>
      </c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">
      <c r="A21" s="58">
        <v>5</v>
      </c>
      <c r="B21" s="73" t="s">
        <v>52</v>
      </c>
      <c r="C21" s="74" t="s">
        <v>53</v>
      </c>
      <c r="D21" s="74" t="s">
        <v>54</v>
      </c>
      <c r="E21" s="74" t="s">
        <v>55</v>
      </c>
      <c r="F21" s="61" t="s">
        <v>38</v>
      </c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">
      <c r="A22" s="58">
        <v>6</v>
      </c>
      <c r="B22" s="59" t="s">
        <v>56</v>
      </c>
      <c r="C22" s="60" t="s">
        <v>57</v>
      </c>
      <c r="D22" s="60" t="s">
        <v>58</v>
      </c>
      <c r="E22" s="60" t="s">
        <v>59</v>
      </c>
      <c r="F22" s="3" t="s">
        <v>38</v>
      </c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">
      <c r="A23" s="58">
        <v>7</v>
      </c>
      <c r="B23" s="59" t="s">
        <v>60</v>
      </c>
      <c r="C23" s="60" t="s">
        <v>61</v>
      </c>
      <c r="D23" s="60" t="s">
        <v>62</v>
      </c>
      <c r="E23" s="60" t="s">
        <v>63</v>
      </c>
      <c r="F23" s="61" t="s">
        <v>38</v>
      </c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58">
        <v>8</v>
      </c>
      <c r="B24" s="59" t="s">
        <v>64</v>
      </c>
      <c r="C24" s="60" t="s">
        <v>65</v>
      </c>
      <c r="D24" s="60" t="s">
        <v>66</v>
      </c>
      <c r="E24" s="60" t="s">
        <v>67</v>
      </c>
      <c r="F24" s="61" t="s">
        <v>38</v>
      </c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58">
        <v>9</v>
      </c>
      <c r="B25" s="59" t="s">
        <v>68</v>
      </c>
      <c r="C25" s="60" t="s">
        <v>69</v>
      </c>
      <c r="D25" s="60" t="s">
        <v>70</v>
      </c>
      <c r="E25" s="60" t="s">
        <v>71</v>
      </c>
      <c r="F25" s="61" t="s">
        <v>43</v>
      </c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58">
        <v>10</v>
      </c>
      <c r="B26" s="59" t="s">
        <v>72</v>
      </c>
      <c r="C26" s="60" t="s">
        <v>73</v>
      </c>
      <c r="D26" s="60" t="s">
        <v>74</v>
      </c>
      <c r="E26" s="60" t="s">
        <v>75</v>
      </c>
      <c r="F26" s="61" t="s">
        <v>43</v>
      </c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58">
        <v>11</v>
      </c>
      <c r="B27" s="75" t="s">
        <v>76</v>
      </c>
      <c r="C27" s="76" t="s">
        <v>77</v>
      </c>
      <c r="D27" s="76" t="s">
        <v>78</v>
      </c>
      <c r="E27" s="77" t="s">
        <v>79</v>
      </c>
      <c r="F27" s="61" t="s">
        <v>38</v>
      </c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58">
        <v>12</v>
      </c>
      <c r="B28" s="59" t="s">
        <v>80</v>
      </c>
      <c r="C28" s="60" t="s">
        <v>81</v>
      </c>
      <c r="D28" s="60" t="s">
        <v>82</v>
      </c>
      <c r="E28" s="78" t="s">
        <v>83</v>
      </c>
      <c r="F28" s="61" t="s">
        <v>38</v>
      </c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">
      <c r="A29" s="58">
        <v>13</v>
      </c>
      <c r="B29" s="79"/>
      <c r="C29" s="60" t="s">
        <v>84</v>
      </c>
      <c r="D29" s="60" t="s">
        <v>85</v>
      </c>
      <c r="E29" s="78" t="s">
        <v>86</v>
      </c>
      <c r="F29" s="61" t="s">
        <v>38</v>
      </c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">
      <c r="A30" s="58">
        <v>14</v>
      </c>
      <c r="B30" s="73" t="s">
        <v>87</v>
      </c>
      <c r="C30" s="74" t="s">
        <v>88</v>
      </c>
      <c r="D30" s="74" t="s">
        <v>89</v>
      </c>
      <c r="E30" s="80" t="s">
        <v>90</v>
      </c>
      <c r="F30" s="61" t="s">
        <v>38</v>
      </c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">
      <c r="A31" s="58">
        <v>15</v>
      </c>
      <c r="B31" s="59" t="s">
        <v>91</v>
      </c>
      <c r="C31" s="60" t="s">
        <v>92</v>
      </c>
      <c r="D31" s="60" t="s">
        <v>93</v>
      </c>
      <c r="E31" s="78" t="s">
        <v>94</v>
      </c>
      <c r="F31" s="61" t="s">
        <v>38</v>
      </c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">
      <c r="A32" s="58">
        <v>16</v>
      </c>
      <c r="B32" s="73" t="s">
        <v>95</v>
      </c>
      <c r="C32" s="74" t="s">
        <v>96</v>
      </c>
      <c r="D32" s="74" t="s">
        <v>97</v>
      </c>
      <c r="E32" s="81" t="s">
        <v>98</v>
      </c>
      <c r="F32" s="61" t="s">
        <v>43</v>
      </c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">
      <c r="A33" s="58">
        <v>17</v>
      </c>
      <c r="B33" s="73" t="s">
        <v>99</v>
      </c>
      <c r="C33" s="74" t="s">
        <v>93</v>
      </c>
      <c r="D33" s="74" t="s">
        <v>100</v>
      </c>
      <c r="E33" s="80" t="s">
        <v>101</v>
      </c>
      <c r="F33" s="61" t="s">
        <v>38</v>
      </c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">
      <c r="A34" s="58">
        <v>18</v>
      </c>
      <c r="B34" s="59" t="s">
        <v>102</v>
      </c>
      <c r="C34" s="60" t="s">
        <v>103</v>
      </c>
      <c r="D34" s="60" t="s">
        <v>104</v>
      </c>
      <c r="E34" s="78" t="s">
        <v>105</v>
      </c>
      <c r="F34" s="61" t="s">
        <v>38</v>
      </c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58">
        <v>19</v>
      </c>
      <c r="B35" s="59" t="s">
        <v>106</v>
      </c>
      <c r="C35" s="60" t="s">
        <v>107</v>
      </c>
      <c r="D35" s="60" t="s">
        <v>108</v>
      </c>
      <c r="E35" s="78" t="s">
        <v>109</v>
      </c>
      <c r="F35" s="61" t="s">
        <v>43</v>
      </c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58">
        <v>20</v>
      </c>
      <c r="B36" s="59" t="s">
        <v>110</v>
      </c>
      <c r="C36" s="60" t="s">
        <v>111</v>
      </c>
      <c r="D36" s="60" t="s">
        <v>112</v>
      </c>
      <c r="E36" s="78" t="s">
        <v>113</v>
      </c>
      <c r="F36" s="61" t="s">
        <v>38</v>
      </c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58">
        <v>21</v>
      </c>
      <c r="B37" s="59" t="s">
        <v>114</v>
      </c>
      <c r="C37" s="60" t="s">
        <v>115</v>
      </c>
      <c r="D37" s="60" t="s">
        <v>116</v>
      </c>
      <c r="E37" s="78" t="s">
        <v>117</v>
      </c>
      <c r="F37" s="61" t="s">
        <v>38</v>
      </c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58">
        <v>22</v>
      </c>
      <c r="B38" s="59" t="s">
        <v>118</v>
      </c>
      <c r="C38" s="60" t="s">
        <v>119</v>
      </c>
      <c r="D38" s="60" t="s">
        <v>120</v>
      </c>
      <c r="E38" s="78" t="s">
        <v>121</v>
      </c>
      <c r="F38" s="61" t="s">
        <v>38</v>
      </c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58">
        <v>23</v>
      </c>
      <c r="B39" s="59" t="s">
        <v>122</v>
      </c>
      <c r="C39" s="60" t="s">
        <v>123</v>
      </c>
      <c r="D39" s="60" t="s">
        <v>124</v>
      </c>
      <c r="E39" s="78" t="s">
        <v>125</v>
      </c>
      <c r="F39" s="61" t="s">
        <v>43</v>
      </c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58">
        <v>24</v>
      </c>
      <c r="B40" s="59" t="s">
        <v>126</v>
      </c>
      <c r="C40" s="60" t="s">
        <v>127</v>
      </c>
      <c r="D40" s="60" t="s">
        <v>128</v>
      </c>
      <c r="E40" s="78" t="s">
        <v>129</v>
      </c>
      <c r="F40" s="61" t="s">
        <v>38</v>
      </c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58">
        <v>25</v>
      </c>
      <c r="B41" s="59" t="s">
        <v>130</v>
      </c>
      <c r="C41" s="60" t="s">
        <v>131</v>
      </c>
      <c r="D41" s="60" t="s">
        <v>132</v>
      </c>
      <c r="E41" s="78" t="s">
        <v>133</v>
      </c>
      <c r="F41" s="61" t="s">
        <v>43</v>
      </c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58">
        <v>26</v>
      </c>
      <c r="B42" s="59" t="s">
        <v>134</v>
      </c>
      <c r="C42" s="60" t="s">
        <v>135</v>
      </c>
      <c r="D42" s="60" t="s">
        <v>136</v>
      </c>
      <c r="E42" s="78" t="s">
        <v>137</v>
      </c>
      <c r="F42" s="61" t="s">
        <v>38</v>
      </c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58">
        <v>27</v>
      </c>
      <c r="B43" s="59" t="s">
        <v>138</v>
      </c>
      <c r="C43" s="60" t="s">
        <v>139</v>
      </c>
      <c r="D43" s="60" t="s">
        <v>140</v>
      </c>
      <c r="E43" s="78" t="s">
        <v>141</v>
      </c>
      <c r="F43" s="61" t="s">
        <v>38</v>
      </c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58">
        <v>28</v>
      </c>
      <c r="B44" s="59" t="s">
        <v>142</v>
      </c>
      <c r="C44" s="60" t="s">
        <v>143</v>
      </c>
      <c r="D44" s="60" t="s">
        <v>144</v>
      </c>
      <c r="E44" s="78" t="s">
        <v>145</v>
      </c>
      <c r="F44" s="61" t="s">
        <v>38</v>
      </c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58">
        <v>29</v>
      </c>
      <c r="B45" s="59" t="s">
        <v>146</v>
      </c>
      <c r="C45" s="60" t="s">
        <v>147</v>
      </c>
      <c r="D45" s="60" t="s">
        <v>148</v>
      </c>
      <c r="E45" s="78" t="s">
        <v>149</v>
      </c>
      <c r="F45" s="61" t="s">
        <v>43</v>
      </c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">
      <c r="A46" s="58">
        <v>30</v>
      </c>
      <c r="B46" s="59" t="s">
        <v>150</v>
      </c>
      <c r="C46" s="60" t="s">
        <v>151</v>
      </c>
      <c r="D46" s="60" t="s">
        <v>152</v>
      </c>
      <c r="E46" s="78" t="s">
        <v>153</v>
      </c>
      <c r="F46" s="61" t="s">
        <v>38</v>
      </c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58"/>
      <c r="B47" s="59"/>
      <c r="C47" s="60"/>
      <c r="D47" s="60"/>
      <c r="E47" s="78"/>
      <c r="F47" s="61"/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58"/>
      <c r="B48" s="59"/>
      <c r="C48" s="60"/>
      <c r="D48" s="60"/>
      <c r="E48" s="78"/>
      <c r="F48" s="61"/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58"/>
      <c r="B49" s="59"/>
      <c r="C49" s="60"/>
      <c r="D49" s="60"/>
      <c r="E49" s="78"/>
      <c r="F49" s="61"/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58"/>
      <c r="B50" s="59"/>
      <c r="C50" s="60"/>
      <c r="D50" s="60"/>
      <c r="E50" s="78"/>
      <c r="F50" s="61"/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4.25" customHeight="1" x14ac:dyDescent="0.2">
      <c r="A51" s="58"/>
      <c r="B51" s="59"/>
      <c r="C51" s="60"/>
      <c r="D51" s="60"/>
      <c r="E51" s="78"/>
      <c r="F51" s="61"/>
      <c r="G51" s="62"/>
      <c r="H51" s="63"/>
      <c r="I51" s="63"/>
      <c r="J51" s="63"/>
      <c r="K51" s="64"/>
      <c r="L51" s="64"/>
      <c r="M51" s="65"/>
      <c r="N51" s="64"/>
      <c r="O51" s="64"/>
      <c r="P51" s="64"/>
      <c r="Q51" s="64"/>
      <c r="R51" s="64"/>
      <c r="S51" s="64"/>
      <c r="T51" s="64"/>
      <c r="U51" s="64"/>
      <c r="V51" s="64"/>
      <c r="W51" s="66"/>
      <c r="X51" s="64"/>
      <c r="Y51" s="64"/>
      <c r="Z51" s="64"/>
      <c r="AA51" s="67"/>
      <c r="AB51" s="67"/>
      <c r="AC51" s="67"/>
      <c r="AD51" s="68"/>
      <c r="AE51" s="69"/>
      <c r="AF51" s="69"/>
      <c r="AG51" s="69"/>
      <c r="AH51" s="70"/>
      <c r="AI51" s="69"/>
      <c r="AJ51" s="69"/>
      <c r="AK51" s="69"/>
      <c r="AL51" s="69"/>
      <c r="AM51" s="70"/>
      <c r="AN51" s="69"/>
      <c r="AO51" s="71"/>
      <c r="AP51" s="72"/>
    </row>
    <row r="52" spans="1:42" ht="12.75" customHeight="1" x14ac:dyDescent="0.2">
      <c r="E52" s="11">
        <f>COUNTIFS(F17:F51,"H")</f>
        <v>9</v>
      </c>
      <c r="F52" s="11" t="s">
        <v>43</v>
      </c>
    </row>
    <row r="53" spans="1:42" ht="12.75" customHeight="1" x14ac:dyDescent="0.2">
      <c r="E53" s="11">
        <f>COUNTIFS(F17:F51,"M")</f>
        <v>21</v>
      </c>
      <c r="F53" s="3" t="s">
        <v>38</v>
      </c>
    </row>
    <row r="54" spans="1:42" ht="12.75" customHeight="1" x14ac:dyDescent="0.2">
      <c r="E54" s="11">
        <f>SUM(E52:E53)</f>
        <v>30</v>
      </c>
      <c r="F54" s="11"/>
    </row>
    <row r="55" spans="1:42" ht="12.75" customHeight="1" x14ac:dyDescent="0.2">
      <c r="E55" s="11"/>
      <c r="F55" s="3"/>
      <c r="G55" s="82">
        <f>COUNTIFS(G17:G51,"pag")</f>
        <v>0</v>
      </c>
    </row>
    <row r="56" spans="1:42" ht="12.75" customHeight="1" x14ac:dyDescent="0.2">
      <c r="E56" s="11"/>
      <c r="F56" s="11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42" ht="12.75" customHeight="1" x14ac:dyDescent="0.2">
      <c r="B57" s="84" t="s">
        <v>154</v>
      </c>
      <c r="C57" s="85"/>
      <c r="D57" s="85"/>
      <c r="F57" s="3"/>
      <c r="G57" s="84" t="s">
        <v>155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F63" s="3"/>
    </row>
    <row r="64" spans="1:42" ht="12.75" customHeight="1" x14ac:dyDescent="0.2">
      <c r="B64" s="86"/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</sheetData>
  <mergeCells count="14">
    <mergeCell ref="G57:X57"/>
    <mergeCell ref="A9:B9"/>
    <mergeCell ref="C9:E9"/>
    <mergeCell ref="A10:B10"/>
    <mergeCell ref="C10:E10"/>
    <mergeCell ref="A11:B11"/>
    <mergeCell ref="B57:D57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5"/>
  <sheetViews>
    <sheetView view="pageBreakPreview" topLeftCell="A4" zoomScale="140" zoomScaleNormal="85" zoomScaleSheetLayoutView="140" workbookViewId="0">
      <selection activeCell="E13" sqref="E13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156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87">
        <v>1</v>
      </c>
      <c r="B17" s="88" t="s">
        <v>157</v>
      </c>
      <c r="C17" s="89" t="s">
        <v>158</v>
      </c>
      <c r="D17" s="89" t="s">
        <v>159</v>
      </c>
      <c r="E17" s="89" t="s">
        <v>160</v>
      </c>
      <c r="F17" s="61" t="s">
        <v>38</v>
      </c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87">
        <v>2</v>
      </c>
      <c r="B18" s="88"/>
      <c r="C18" s="89" t="s">
        <v>161</v>
      </c>
      <c r="D18" s="89" t="s">
        <v>162</v>
      </c>
      <c r="E18" s="89" t="s">
        <v>163</v>
      </c>
      <c r="F18" s="61" t="s">
        <v>38</v>
      </c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">
      <c r="A19" s="87">
        <v>3</v>
      </c>
      <c r="B19" s="88" t="s">
        <v>164</v>
      </c>
      <c r="C19" s="89" t="s">
        <v>89</v>
      </c>
      <c r="D19" s="89" t="s">
        <v>140</v>
      </c>
      <c r="E19" s="89" t="s">
        <v>165</v>
      </c>
      <c r="F19" s="61" t="s">
        <v>43</v>
      </c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">
      <c r="A20" s="87">
        <v>4</v>
      </c>
      <c r="B20" s="88" t="s">
        <v>166</v>
      </c>
      <c r="C20" s="89" t="s">
        <v>167</v>
      </c>
      <c r="D20" s="89" t="s">
        <v>168</v>
      </c>
      <c r="E20" s="89" t="s">
        <v>169</v>
      </c>
      <c r="F20" s="61" t="s">
        <v>38</v>
      </c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5">
      <c r="A21" s="87">
        <v>5</v>
      </c>
      <c r="B21" s="90" t="s">
        <v>170</v>
      </c>
      <c r="C21" s="91" t="s">
        <v>171</v>
      </c>
      <c r="D21" s="91" t="s">
        <v>172</v>
      </c>
      <c r="E21" s="91" t="s">
        <v>173</v>
      </c>
      <c r="F21" s="61" t="s">
        <v>38</v>
      </c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">
      <c r="A22" s="87">
        <v>6</v>
      </c>
      <c r="B22" s="92" t="s">
        <v>174</v>
      </c>
      <c r="C22" s="93" t="s">
        <v>175</v>
      </c>
      <c r="D22" s="93" t="s">
        <v>176</v>
      </c>
      <c r="E22" s="93" t="s">
        <v>177</v>
      </c>
      <c r="F22" s="61" t="s">
        <v>43</v>
      </c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5">
      <c r="A23" s="87">
        <v>7</v>
      </c>
      <c r="B23" s="90" t="s">
        <v>178</v>
      </c>
      <c r="C23" s="91" t="s">
        <v>179</v>
      </c>
      <c r="D23" s="91" t="s">
        <v>180</v>
      </c>
      <c r="E23" s="91" t="s">
        <v>181</v>
      </c>
      <c r="F23" s="3" t="s">
        <v>43</v>
      </c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87">
        <v>8</v>
      </c>
      <c r="B24" s="88" t="s">
        <v>182</v>
      </c>
      <c r="C24" s="89" t="s">
        <v>183</v>
      </c>
      <c r="D24" s="89" t="s">
        <v>184</v>
      </c>
      <c r="E24" s="89" t="s">
        <v>185</v>
      </c>
      <c r="F24" s="61" t="s">
        <v>38</v>
      </c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87">
        <v>9</v>
      </c>
      <c r="B25" s="88" t="s">
        <v>186</v>
      </c>
      <c r="C25" s="89" t="s">
        <v>187</v>
      </c>
      <c r="D25" s="89" t="s">
        <v>188</v>
      </c>
      <c r="E25" s="89" t="s">
        <v>189</v>
      </c>
      <c r="F25" s="61" t="s">
        <v>38</v>
      </c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87">
        <v>10</v>
      </c>
      <c r="B26" s="88" t="s">
        <v>190</v>
      </c>
      <c r="C26" s="89" t="s">
        <v>191</v>
      </c>
      <c r="D26" s="89" t="s">
        <v>192</v>
      </c>
      <c r="E26" s="89" t="s">
        <v>193</v>
      </c>
      <c r="F26" s="61" t="s">
        <v>43</v>
      </c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87">
        <v>11</v>
      </c>
      <c r="B27" s="88" t="s">
        <v>194</v>
      </c>
      <c r="C27" s="89" t="s">
        <v>195</v>
      </c>
      <c r="D27" s="89" t="s">
        <v>88</v>
      </c>
      <c r="E27" s="94" t="s">
        <v>196</v>
      </c>
      <c r="F27" s="61" t="s">
        <v>43</v>
      </c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87">
        <v>12</v>
      </c>
      <c r="B28" s="88" t="s">
        <v>197</v>
      </c>
      <c r="C28" s="89" t="s">
        <v>198</v>
      </c>
      <c r="D28" s="89" t="s">
        <v>199</v>
      </c>
      <c r="E28" s="94" t="s">
        <v>200</v>
      </c>
      <c r="F28" s="61" t="s">
        <v>38</v>
      </c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">
      <c r="A29" s="87">
        <v>13</v>
      </c>
      <c r="B29" s="92" t="s">
        <v>201</v>
      </c>
      <c r="C29" s="93" t="s">
        <v>202</v>
      </c>
      <c r="D29" s="93" t="s">
        <v>203</v>
      </c>
      <c r="E29" s="95" t="s">
        <v>204</v>
      </c>
      <c r="F29" s="61" t="s">
        <v>43</v>
      </c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">
      <c r="A30" s="87">
        <v>14</v>
      </c>
      <c r="B30" s="88" t="s">
        <v>205</v>
      </c>
      <c r="C30" s="89" t="s">
        <v>88</v>
      </c>
      <c r="D30" s="89" t="s">
        <v>206</v>
      </c>
      <c r="E30" s="94" t="s">
        <v>207</v>
      </c>
      <c r="F30" s="61" t="s">
        <v>38</v>
      </c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5">
      <c r="A31" s="87">
        <v>15</v>
      </c>
      <c r="B31" s="90" t="s">
        <v>208</v>
      </c>
      <c r="C31" s="91" t="s">
        <v>58</v>
      </c>
      <c r="D31" s="91" t="s">
        <v>127</v>
      </c>
      <c r="E31" s="96" t="s">
        <v>209</v>
      </c>
      <c r="F31" s="61" t="s">
        <v>38</v>
      </c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">
      <c r="A32" s="87">
        <v>16</v>
      </c>
      <c r="B32" s="88" t="s">
        <v>210</v>
      </c>
      <c r="C32" s="89" t="s">
        <v>211</v>
      </c>
      <c r="D32" s="89" t="s">
        <v>212</v>
      </c>
      <c r="E32" s="94" t="s">
        <v>213</v>
      </c>
      <c r="F32" s="61" t="s">
        <v>43</v>
      </c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5">
      <c r="A33" s="87">
        <v>17</v>
      </c>
      <c r="B33" s="90" t="s">
        <v>214</v>
      </c>
      <c r="C33" s="91" t="s">
        <v>215</v>
      </c>
      <c r="D33" s="91" t="s">
        <v>216</v>
      </c>
      <c r="E33" s="97" t="s">
        <v>217</v>
      </c>
      <c r="F33" s="61" t="s">
        <v>38</v>
      </c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5">
      <c r="A34" s="87">
        <v>18</v>
      </c>
      <c r="B34" s="90" t="s">
        <v>218</v>
      </c>
      <c r="C34" s="91" t="s">
        <v>219</v>
      </c>
      <c r="D34" s="91" t="s">
        <v>220</v>
      </c>
      <c r="E34" s="96" t="s">
        <v>221</v>
      </c>
      <c r="F34" s="61" t="s">
        <v>38</v>
      </c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87">
        <v>19</v>
      </c>
      <c r="B35" s="88" t="s">
        <v>222</v>
      </c>
      <c r="C35" s="89" t="s">
        <v>223</v>
      </c>
      <c r="D35" s="89" t="s">
        <v>93</v>
      </c>
      <c r="E35" s="94" t="s">
        <v>224</v>
      </c>
      <c r="F35" s="61" t="s">
        <v>38</v>
      </c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87">
        <v>20</v>
      </c>
      <c r="B36" s="88" t="s">
        <v>225</v>
      </c>
      <c r="C36" s="89" t="s">
        <v>226</v>
      </c>
      <c r="D36" s="89" t="s">
        <v>227</v>
      </c>
      <c r="E36" s="94" t="s">
        <v>228</v>
      </c>
      <c r="F36" s="61" t="s">
        <v>38</v>
      </c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87">
        <v>21</v>
      </c>
      <c r="B37" s="88" t="s">
        <v>229</v>
      </c>
      <c r="C37" s="89" t="s">
        <v>230</v>
      </c>
      <c r="D37" s="89" t="s">
        <v>58</v>
      </c>
      <c r="E37" s="94" t="s">
        <v>231</v>
      </c>
      <c r="F37" s="61" t="s">
        <v>43</v>
      </c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87">
        <v>22</v>
      </c>
      <c r="B38" s="88" t="s">
        <v>232</v>
      </c>
      <c r="C38" s="89" t="s">
        <v>140</v>
      </c>
      <c r="D38" s="89" t="s">
        <v>77</v>
      </c>
      <c r="E38" s="94" t="s">
        <v>233</v>
      </c>
      <c r="F38" s="61" t="s">
        <v>38</v>
      </c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87">
        <v>23</v>
      </c>
      <c r="B39" s="88" t="s">
        <v>234</v>
      </c>
      <c r="C39" s="89" t="s">
        <v>188</v>
      </c>
      <c r="D39" s="89" t="s">
        <v>235</v>
      </c>
      <c r="E39" s="94" t="s">
        <v>236</v>
      </c>
      <c r="F39" s="61" t="s">
        <v>38</v>
      </c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87">
        <v>24</v>
      </c>
      <c r="B40" s="88" t="s">
        <v>237</v>
      </c>
      <c r="C40" s="89" t="s">
        <v>238</v>
      </c>
      <c r="D40" s="89" t="s">
        <v>239</v>
      </c>
      <c r="E40" s="94" t="s">
        <v>240</v>
      </c>
      <c r="F40" s="61" t="s">
        <v>38</v>
      </c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87">
        <v>25</v>
      </c>
      <c r="B41" s="88" t="s">
        <v>241</v>
      </c>
      <c r="C41" s="89" t="s">
        <v>70</v>
      </c>
      <c r="D41" s="89" t="s">
        <v>242</v>
      </c>
      <c r="E41" s="94" t="s">
        <v>243</v>
      </c>
      <c r="F41" s="61" t="s">
        <v>38</v>
      </c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87">
        <v>26</v>
      </c>
      <c r="B42" s="88" t="s">
        <v>244</v>
      </c>
      <c r="C42" s="89" t="s">
        <v>245</v>
      </c>
      <c r="D42" s="89" t="s">
        <v>246</v>
      </c>
      <c r="E42" s="94" t="s">
        <v>247</v>
      </c>
      <c r="F42" s="61" t="s">
        <v>38</v>
      </c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87">
        <v>27</v>
      </c>
      <c r="B43" s="88" t="s">
        <v>248</v>
      </c>
      <c r="C43" s="89" t="s">
        <v>46</v>
      </c>
      <c r="D43" s="89" t="s">
        <v>249</v>
      </c>
      <c r="E43" s="94" t="s">
        <v>250</v>
      </c>
      <c r="F43" s="61" t="s">
        <v>43</v>
      </c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87">
        <v>28</v>
      </c>
      <c r="B44" s="88" t="s">
        <v>251</v>
      </c>
      <c r="C44" s="89" t="s">
        <v>252</v>
      </c>
      <c r="D44" s="89" t="s">
        <v>242</v>
      </c>
      <c r="E44" s="94" t="s">
        <v>253</v>
      </c>
      <c r="F44" s="61" t="s">
        <v>38</v>
      </c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87">
        <v>29</v>
      </c>
      <c r="B45" s="88" t="s">
        <v>254</v>
      </c>
      <c r="C45" s="89" t="s">
        <v>255</v>
      </c>
      <c r="D45" s="89" t="s">
        <v>256</v>
      </c>
      <c r="E45" s="94" t="s">
        <v>257</v>
      </c>
      <c r="F45" s="61" t="s">
        <v>43</v>
      </c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">
      <c r="A46" s="87">
        <v>30</v>
      </c>
      <c r="B46" s="88" t="s">
        <v>258</v>
      </c>
      <c r="C46" s="89" t="s">
        <v>259</v>
      </c>
      <c r="D46" s="89" t="s">
        <v>260</v>
      </c>
      <c r="E46" s="94" t="s">
        <v>261</v>
      </c>
      <c r="F46" s="61" t="s">
        <v>38</v>
      </c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87"/>
      <c r="B47" s="88"/>
      <c r="C47" s="89"/>
      <c r="D47" s="89"/>
      <c r="E47" s="94"/>
      <c r="F47" s="61"/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87"/>
      <c r="B48" s="88"/>
      <c r="C48" s="89"/>
      <c r="D48" s="89"/>
      <c r="E48" s="94"/>
      <c r="F48" s="61"/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87"/>
      <c r="B49" s="88"/>
      <c r="C49" s="89"/>
      <c r="D49" s="89"/>
      <c r="E49" s="94"/>
      <c r="F49" s="61"/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87"/>
      <c r="B50" s="88"/>
      <c r="C50" s="89"/>
      <c r="D50" s="89"/>
      <c r="E50" s="94"/>
      <c r="F50" s="61"/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4.25" customHeight="1" x14ac:dyDescent="0.2">
      <c r="A51" s="87"/>
      <c r="B51" s="88"/>
      <c r="C51" s="89"/>
      <c r="D51" s="89"/>
      <c r="E51" s="94"/>
      <c r="F51" s="61"/>
      <c r="G51" s="62"/>
      <c r="H51" s="63"/>
      <c r="I51" s="63"/>
      <c r="J51" s="63"/>
      <c r="K51" s="64"/>
      <c r="L51" s="64"/>
      <c r="M51" s="65"/>
      <c r="N51" s="64"/>
      <c r="O51" s="64"/>
      <c r="P51" s="64"/>
      <c r="Q51" s="64"/>
      <c r="R51" s="64"/>
      <c r="S51" s="64"/>
      <c r="T51" s="64"/>
      <c r="U51" s="64"/>
      <c r="V51" s="64"/>
      <c r="W51" s="66"/>
      <c r="X51" s="64"/>
      <c r="Y51" s="64"/>
      <c r="Z51" s="64"/>
      <c r="AA51" s="67"/>
      <c r="AB51" s="67"/>
      <c r="AC51" s="67"/>
      <c r="AD51" s="68"/>
      <c r="AE51" s="69"/>
      <c r="AF51" s="69"/>
      <c r="AG51" s="69"/>
      <c r="AH51" s="70"/>
      <c r="AI51" s="69"/>
      <c r="AJ51" s="69"/>
      <c r="AK51" s="69"/>
      <c r="AL51" s="69"/>
      <c r="AM51" s="70"/>
      <c r="AN51" s="69"/>
      <c r="AO51" s="71"/>
      <c r="AP51" s="72"/>
    </row>
    <row r="52" spans="1:42" ht="12.75" customHeight="1" x14ac:dyDescent="0.2">
      <c r="E52" s="11">
        <f>COUNTIFS(F17:F51,"H")</f>
        <v>10</v>
      </c>
      <c r="F52" s="11" t="s">
        <v>43</v>
      </c>
    </row>
    <row r="53" spans="1:42" ht="12.75" customHeight="1" x14ac:dyDescent="0.2">
      <c r="E53" s="11">
        <f>COUNTIFS(F17:F51,"M")</f>
        <v>20</v>
      </c>
      <c r="F53" s="3" t="s">
        <v>38</v>
      </c>
    </row>
    <row r="54" spans="1:42" ht="12.75" customHeight="1" x14ac:dyDescent="0.2">
      <c r="E54" s="11">
        <f>SUM(E52:E53)</f>
        <v>30</v>
      </c>
      <c r="F54" s="11"/>
    </row>
    <row r="55" spans="1:42" ht="12.75" customHeight="1" x14ac:dyDescent="0.2">
      <c r="E55" s="11"/>
      <c r="F55" s="3"/>
      <c r="G55" s="82">
        <f>COUNTIFS(G17:G51,"pag")</f>
        <v>0</v>
      </c>
    </row>
    <row r="56" spans="1:42" ht="12.75" customHeight="1" x14ac:dyDescent="0.2">
      <c r="E56" s="11"/>
      <c r="F56" s="11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42" ht="12.75" customHeight="1" x14ac:dyDescent="0.2">
      <c r="B57" s="84" t="s">
        <v>154</v>
      </c>
      <c r="C57" s="85"/>
      <c r="D57" s="85"/>
      <c r="F57" s="3"/>
      <c r="G57" s="84" t="s">
        <v>155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F63" s="3"/>
    </row>
    <row r="64" spans="1:42" ht="12.75" customHeight="1" x14ac:dyDescent="0.2">
      <c r="B64" s="86"/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</sheetData>
  <mergeCells count="14">
    <mergeCell ref="G57:X57"/>
    <mergeCell ref="A9:B9"/>
    <mergeCell ref="C9:E9"/>
    <mergeCell ref="A10:B10"/>
    <mergeCell ref="C10:E10"/>
    <mergeCell ref="A11:B11"/>
    <mergeCell ref="B57:D57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5"/>
  <sheetViews>
    <sheetView view="pageBreakPreview" zoomScale="140" zoomScaleNormal="85" zoomScaleSheetLayoutView="140" workbookViewId="0">
      <selection activeCell="L23" sqref="L23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262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87">
        <v>1</v>
      </c>
      <c r="B17" s="88" t="s">
        <v>263</v>
      </c>
      <c r="C17" s="89" t="s">
        <v>264</v>
      </c>
      <c r="D17" s="89" t="s">
        <v>265</v>
      </c>
      <c r="E17" s="89" t="s">
        <v>266</v>
      </c>
      <c r="F17" s="61" t="s">
        <v>43</v>
      </c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87">
        <v>2</v>
      </c>
      <c r="B18" s="88" t="s">
        <v>267</v>
      </c>
      <c r="C18" s="89" t="s">
        <v>89</v>
      </c>
      <c r="D18" s="89" t="s">
        <v>268</v>
      </c>
      <c r="E18" s="89" t="s">
        <v>269</v>
      </c>
      <c r="F18" s="61" t="s">
        <v>38</v>
      </c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5">
      <c r="A19" s="87">
        <v>3</v>
      </c>
      <c r="B19" s="90" t="s">
        <v>270</v>
      </c>
      <c r="C19" s="91" t="s">
        <v>271</v>
      </c>
      <c r="D19" s="91" t="s">
        <v>272</v>
      </c>
      <c r="E19" s="91" t="s">
        <v>273</v>
      </c>
      <c r="F19" s="61" t="s">
        <v>43</v>
      </c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">
      <c r="A20" s="87">
        <v>4</v>
      </c>
      <c r="B20" s="92" t="s">
        <v>274</v>
      </c>
      <c r="C20" s="93" t="s">
        <v>275</v>
      </c>
      <c r="D20" s="93" t="s">
        <v>276</v>
      </c>
      <c r="E20" s="93" t="s">
        <v>277</v>
      </c>
      <c r="F20" s="61" t="s">
        <v>38</v>
      </c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5">
      <c r="A21" s="87">
        <v>5</v>
      </c>
      <c r="B21" s="90" t="s">
        <v>278</v>
      </c>
      <c r="C21" s="91" t="s">
        <v>279</v>
      </c>
      <c r="D21" s="91" t="s">
        <v>280</v>
      </c>
      <c r="E21" s="91" t="s">
        <v>281</v>
      </c>
      <c r="F21" s="61" t="s">
        <v>38</v>
      </c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">
      <c r="A22" s="87">
        <v>6</v>
      </c>
      <c r="B22" s="88" t="s">
        <v>282</v>
      </c>
      <c r="C22" s="89" t="s">
        <v>179</v>
      </c>
      <c r="D22" s="89" t="s">
        <v>139</v>
      </c>
      <c r="E22" s="89" t="s">
        <v>283</v>
      </c>
      <c r="F22" s="3" t="s">
        <v>38</v>
      </c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">
      <c r="A23" s="87">
        <v>7</v>
      </c>
      <c r="B23" s="88" t="s">
        <v>284</v>
      </c>
      <c r="C23" s="89" t="s">
        <v>285</v>
      </c>
      <c r="D23" s="89" t="s">
        <v>58</v>
      </c>
      <c r="E23" s="89" t="s">
        <v>286</v>
      </c>
      <c r="F23" s="61" t="s">
        <v>43</v>
      </c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87">
        <v>8</v>
      </c>
      <c r="B24" s="88" t="s">
        <v>287</v>
      </c>
      <c r="C24" s="89" t="s">
        <v>69</v>
      </c>
      <c r="D24" s="89" t="s">
        <v>93</v>
      </c>
      <c r="E24" s="89" t="s">
        <v>288</v>
      </c>
      <c r="F24" s="61" t="s">
        <v>38</v>
      </c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87">
        <v>9</v>
      </c>
      <c r="B25" s="88" t="s">
        <v>289</v>
      </c>
      <c r="C25" s="89" t="s">
        <v>290</v>
      </c>
      <c r="D25" s="89" t="s">
        <v>291</v>
      </c>
      <c r="E25" s="89" t="s">
        <v>292</v>
      </c>
      <c r="F25" s="61" t="s">
        <v>43</v>
      </c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87">
        <v>10</v>
      </c>
      <c r="B26" s="88" t="s">
        <v>293</v>
      </c>
      <c r="C26" s="89" t="s">
        <v>73</v>
      </c>
      <c r="D26" s="89" t="s">
        <v>294</v>
      </c>
      <c r="E26" s="89" t="s">
        <v>295</v>
      </c>
      <c r="F26" s="61" t="s">
        <v>43</v>
      </c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87">
        <v>11</v>
      </c>
      <c r="B27" s="88" t="s">
        <v>296</v>
      </c>
      <c r="C27" s="89" t="s">
        <v>297</v>
      </c>
      <c r="D27" s="89" t="s">
        <v>139</v>
      </c>
      <c r="E27" s="94" t="s">
        <v>298</v>
      </c>
      <c r="F27" s="61" t="s">
        <v>43</v>
      </c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87">
        <v>12</v>
      </c>
      <c r="B28" s="92" t="s">
        <v>299</v>
      </c>
      <c r="C28" s="93" t="s">
        <v>265</v>
      </c>
      <c r="D28" s="93" t="s">
        <v>62</v>
      </c>
      <c r="E28" s="95" t="s">
        <v>300</v>
      </c>
      <c r="F28" s="61" t="s">
        <v>38</v>
      </c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">
      <c r="A29" s="87">
        <v>13</v>
      </c>
      <c r="B29" s="88" t="s">
        <v>301</v>
      </c>
      <c r="C29" s="89" t="s">
        <v>302</v>
      </c>
      <c r="D29" s="89" t="s">
        <v>303</v>
      </c>
      <c r="E29" s="94" t="s">
        <v>304</v>
      </c>
      <c r="F29" s="61" t="s">
        <v>38</v>
      </c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5">
      <c r="A30" s="87">
        <v>14</v>
      </c>
      <c r="B30" s="90" t="s">
        <v>305</v>
      </c>
      <c r="C30" s="91" t="s">
        <v>306</v>
      </c>
      <c r="D30" s="91" t="s">
        <v>302</v>
      </c>
      <c r="E30" s="96" t="s">
        <v>307</v>
      </c>
      <c r="F30" s="61" t="s">
        <v>38</v>
      </c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">
      <c r="A31" s="87">
        <v>15</v>
      </c>
      <c r="B31" s="88" t="s">
        <v>308</v>
      </c>
      <c r="C31" s="89" t="s">
        <v>58</v>
      </c>
      <c r="D31" s="89" t="s">
        <v>309</v>
      </c>
      <c r="E31" s="94" t="s">
        <v>310</v>
      </c>
      <c r="F31" s="61" t="s">
        <v>43</v>
      </c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5">
      <c r="A32" s="87">
        <v>16</v>
      </c>
      <c r="B32" s="90" t="s">
        <v>311</v>
      </c>
      <c r="C32" s="91" t="s">
        <v>312</v>
      </c>
      <c r="D32" s="91" t="s">
        <v>242</v>
      </c>
      <c r="E32" s="97" t="s">
        <v>313</v>
      </c>
      <c r="F32" s="61" t="s">
        <v>43</v>
      </c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5">
      <c r="A33" s="87">
        <v>17</v>
      </c>
      <c r="B33" s="90" t="s">
        <v>314</v>
      </c>
      <c r="C33" s="91" t="s">
        <v>315</v>
      </c>
      <c r="D33" s="91" t="s">
        <v>84</v>
      </c>
      <c r="E33" s="96" t="s">
        <v>316</v>
      </c>
      <c r="F33" s="61" t="s">
        <v>38</v>
      </c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">
      <c r="A34" s="87">
        <v>18</v>
      </c>
      <c r="B34" s="88" t="s">
        <v>317</v>
      </c>
      <c r="C34" s="89" t="s">
        <v>318</v>
      </c>
      <c r="D34" s="89" t="s">
        <v>96</v>
      </c>
      <c r="E34" s="94" t="s">
        <v>319</v>
      </c>
      <c r="F34" s="61" t="s">
        <v>38</v>
      </c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87">
        <v>19</v>
      </c>
      <c r="B35" s="88" t="s">
        <v>320</v>
      </c>
      <c r="C35" s="89" t="s">
        <v>321</v>
      </c>
      <c r="D35" s="89" t="s">
        <v>93</v>
      </c>
      <c r="E35" s="94" t="s">
        <v>322</v>
      </c>
      <c r="F35" s="61" t="s">
        <v>38</v>
      </c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87">
        <v>20</v>
      </c>
      <c r="B36" s="88" t="s">
        <v>323</v>
      </c>
      <c r="C36" s="89" t="s">
        <v>324</v>
      </c>
      <c r="D36" s="89" t="s">
        <v>84</v>
      </c>
      <c r="E36" s="94" t="s">
        <v>325</v>
      </c>
      <c r="F36" s="61" t="s">
        <v>38</v>
      </c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87">
        <v>21</v>
      </c>
      <c r="B37" s="88" t="s">
        <v>326</v>
      </c>
      <c r="C37" s="89" t="s">
        <v>327</v>
      </c>
      <c r="D37" s="89" t="s">
        <v>328</v>
      </c>
      <c r="E37" s="94" t="s">
        <v>329</v>
      </c>
      <c r="F37" s="61" t="s">
        <v>38</v>
      </c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87">
        <v>22</v>
      </c>
      <c r="B38" s="88" t="s">
        <v>330</v>
      </c>
      <c r="C38" s="89" t="s">
        <v>331</v>
      </c>
      <c r="D38" s="89" t="s">
        <v>332</v>
      </c>
      <c r="E38" s="94" t="s">
        <v>333</v>
      </c>
      <c r="F38" s="61" t="s">
        <v>43</v>
      </c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87">
        <v>23</v>
      </c>
      <c r="B39" s="88" t="s">
        <v>334</v>
      </c>
      <c r="C39" s="89" t="s">
        <v>188</v>
      </c>
      <c r="D39" s="89" t="s">
        <v>84</v>
      </c>
      <c r="E39" s="94" t="s">
        <v>335</v>
      </c>
      <c r="F39" s="61" t="s">
        <v>38</v>
      </c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87">
        <v>24</v>
      </c>
      <c r="B40" s="88" t="s">
        <v>336</v>
      </c>
      <c r="C40" s="89" t="s">
        <v>131</v>
      </c>
      <c r="D40" s="89" t="s">
        <v>179</v>
      </c>
      <c r="E40" s="94" t="s">
        <v>337</v>
      </c>
      <c r="F40" s="61" t="s">
        <v>38</v>
      </c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87">
        <v>25</v>
      </c>
      <c r="B41" s="88" t="s">
        <v>338</v>
      </c>
      <c r="C41" s="89" t="s">
        <v>242</v>
      </c>
      <c r="D41" s="89" t="s">
        <v>171</v>
      </c>
      <c r="E41" s="94" t="s">
        <v>339</v>
      </c>
      <c r="F41" s="61" t="s">
        <v>38</v>
      </c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87">
        <v>26</v>
      </c>
      <c r="B42" s="88" t="s">
        <v>340</v>
      </c>
      <c r="C42" s="89" t="s">
        <v>341</v>
      </c>
      <c r="D42" s="89" t="s">
        <v>294</v>
      </c>
      <c r="E42" s="94" t="s">
        <v>342</v>
      </c>
      <c r="F42" s="61" t="s">
        <v>38</v>
      </c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87">
        <v>27</v>
      </c>
      <c r="B43" s="88" t="s">
        <v>343</v>
      </c>
      <c r="C43" s="89" t="s">
        <v>344</v>
      </c>
      <c r="D43" s="89" t="s">
        <v>62</v>
      </c>
      <c r="E43" s="94" t="s">
        <v>90</v>
      </c>
      <c r="F43" s="61" t="s">
        <v>38</v>
      </c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87">
        <v>28</v>
      </c>
      <c r="B44" s="88"/>
      <c r="C44" s="89" t="s">
        <v>345</v>
      </c>
      <c r="D44" s="89" t="s">
        <v>346</v>
      </c>
      <c r="E44" s="94" t="s">
        <v>347</v>
      </c>
      <c r="F44" s="61" t="s">
        <v>43</v>
      </c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87">
        <v>29</v>
      </c>
      <c r="B45" s="88" t="s">
        <v>348</v>
      </c>
      <c r="C45" s="89" t="s">
        <v>349</v>
      </c>
      <c r="D45" s="89" t="s">
        <v>350</v>
      </c>
      <c r="E45" s="94" t="s">
        <v>351</v>
      </c>
      <c r="F45" s="61" t="s">
        <v>38</v>
      </c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">
      <c r="A46" s="87">
        <v>30</v>
      </c>
      <c r="B46" s="88" t="s">
        <v>352</v>
      </c>
      <c r="C46" s="89" t="s">
        <v>255</v>
      </c>
      <c r="D46" s="89" t="s">
        <v>353</v>
      </c>
      <c r="E46" s="94" t="s">
        <v>354</v>
      </c>
      <c r="F46" s="61" t="s">
        <v>43</v>
      </c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87"/>
      <c r="B47" s="88"/>
      <c r="C47" s="89"/>
      <c r="D47" s="89"/>
      <c r="E47" s="94"/>
      <c r="F47" s="61"/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87"/>
      <c r="B48" s="88"/>
      <c r="C48" s="89"/>
      <c r="D48" s="89"/>
      <c r="E48" s="94"/>
      <c r="F48" s="61"/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87"/>
      <c r="B49" s="88"/>
      <c r="C49" s="89"/>
      <c r="D49" s="89"/>
      <c r="E49" s="94"/>
      <c r="F49" s="61"/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87"/>
      <c r="B50" s="88"/>
      <c r="C50" s="89"/>
      <c r="D50" s="89"/>
      <c r="E50" s="94"/>
      <c r="F50" s="61"/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4.25" customHeight="1" x14ac:dyDescent="0.2">
      <c r="A51" s="87"/>
      <c r="B51" s="88"/>
      <c r="C51" s="89"/>
      <c r="D51" s="89"/>
      <c r="E51" s="94"/>
      <c r="F51" s="61"/>
      <c r="G51" s="62"/>
      <c r="H51" s="63"/>
      <c r="I51" s="63"/>
      <c r="J51" s="63"/>
      <c r="K51" s="64"/>
      <c r="L51" s="64"/>
      <c r="M51" s="65"/>
      <c r="N51" s="64"/>
      <c r="O51" s="64"/>
      <c r="P51" s="64"/>
      <c r="Q51" s="64"/>
      <c r="R51" s="64"/>
      <c r="S51" s="64"/>
      <c r="T51" s="64"/>
      <c r="U51" s="64"/>
      <c r="V51" s="64"/>
      <c r="W51" s="66"/>
      <c r="X51" s="64"/>
      <c r="Y51" s="64"/>
      <c r="Z51" s="64"/>
      <c r="AA51" s="67"/>
      <c r="AB51" s="67"/>
      <c r="AC51" s="67"/>
      <c r="AD51" s="68"/>
      <c r="AE51" s="69"/>
      <c r="AF51" s="69"/>
      <c r="AG51" s="69"/>
      <c r="AH51" s="70"/>
      <c r="AI51" s="69"/>
      <c r="AJ51" s="69"/>
      <c r="AK51" s="69"/>
      <c r="AL51" s="69"/>
      <c r="AM51" s="70"/>
      <c r="AN51" s="69"/>
      <c r="AO51" s="71"/>
      <c r="AP51" s="72"/>
    </row>
    <row r="52" spans="1:42" ht="12.75" customHeight="1" x14ac:dyDescent="0.2">
      <c r="E52" s="11">
        <f>COUNTIFS(F17:F51,"H")</f>
        <v>11</v>
      </c>
      <c r="F52" s="11" t="s">
        <v>43</v>
      </c>
    </row>
    <row r="53" spans="1:42" ht="12.75" customHeight="1" x14ac:dyDescent="0.2">
      <c r="E53" s="11">
        <f>COUNTIFS(F17:F51,"M")</f>
        <v>19</v>
      </c>
      <c r="F53" s="3" t="s">
        <v>38</v>
      </c>
    </row>
    <row r="54" spans="1:42" ht="12.75" customHeight="1" x14ac:dyDescent="0.2">
      <c r="E54" s="11">
        <f>SUM(E52:E53)</f>
        <v>30</v>
      </c>
      <c r="F54" s="11"/>
    </row>
    <row r="55" spans="1:42" ht="12.75" customHeight="1" x14ac:dyDescent="0.2">
      <c r="E55" s="11"/>
      <c r="F55" s="3"/>
      <c r="G55" s="82">
        <f>COUNTIFS(G17:G51,"pag")</f>
        <v>0</v>
      </c>
    </row>
    <row r="56" spans="1:42" ht="12.75" customHeight="1" x14ac:dyDescent="0.2">
      <c r="E56" s="11"/>
      <c r="F56" s="11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42" ht="12.75" customHeight="1" x14ac:dyDescent="0.2">
      <c r="B57" s="84" t="s">
        <v>154</v>
      </c>
      <c r="C57" s="85"/>
      <c r="D57" s="85"/>
      <c r="F57" s="3"/>
      <c r="G57" s="84" t="s">
        <v>155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F63" s="3"/>
    </row>
    <row r="64" spans="1:42" ht="12.75" customHeight="1" x14ac:dyDescent="0.2">
      <c r="B64" s="86"/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</sheetData>
  <mergeCells count="14">
    <mergeCell ref="G57:X57"/>
    <mergeCell ref="A9:B9"/>
    <mergeCell ref="C9:E9"/>
    <mergeCell ref="A10:B10"/>
    <mergeCell ref="C10:E10"/>
    <mergeCell ref="A11:B11"/>
    <mergeCell ref="B57:D57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5"/>
  <sheetViews>
    <sheetView view="pageBreakPreview" zoomScale="140" zoomScaleNormal="85" zoomScaleSheetLayoutView="140" workbookViewId="0">
      <selection activeCell="B17" sqref="B17:F51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355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87">
        <v>1</v>
      </c>
      <c r="B17" s="88" t="s">
        <v>356</v>
      </c>
      <c r="C17" s="89" t="s">
        <v>357</v>
      </c>
      <c r="D17" s="89" t="s">
        <v>93</v>
      </c>
      <c r="E17" s="89" t="s">
        <v>358</v>
      </c>
      <c r="F17" s="61" t="s">
        <v>38</v>
      </c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87">
        <v>2</v>
      </c>
      <c r="B18" s="88" t="s">
        <v>359</v>
      </c>
      <c r="C18" s="89" t="s">
        <v>212</v>
      </c>
      <c r="D18" s="89" t="s">
        <v>360</v>
      </c>
      <c r="E18" s="89" t="s">
        <v>361</v>
      </c>
      <c r="F18" s="61" t="s">
        <v>43</v>
      </c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5">
      <c r="A19" s="87">
        <v>3</v>
      </c>
      <c r="B19" s="90" t="s">
        <v>362</v>
      </c>
      <c r="C19" s="91" t="s">
        <v>363</v>
      </c>
      <c r="D19" s="91" t="s">
        <v>364</v>
      </c>
      <c r="E19" s="91" t="s">
        <v>365</v>
      </c>
      <c r="F19" s="61" t="s">
        <v>38</v>
      </c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">
      <c r="A20" s="87">
        <v>4</v>
      </c>
      <c r="B20" s="92" t="s">
        <v>366</v>
      </c>
      <c r="C20" s="93" t="s">
        <v>367</v>
      </c>
      <c r="D20" s="93" t="s">
        <v>216</v>
      </c>
      <c r="E20" s="93" t="s">
        <v>368</v>
      </c>
      <c r="F20" s="61" t="s">
        <v>38</v>
      </c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5">
      <c r="A21" s="87">
        <v>5</v>
      </c>
      <c r="B21" s="90" t="s">
        <v>369</v>
      </c>
      <c r="C21" s="91" t="s">
        <v>370</v>
      </c>
      <c r="D21" s="91" t="s">
        <v>85</v>
      </c>
      <c r="E21" s="91" t="s">
        <v>63</v>
      </c>
      <c r="F21" s="61" t="s">
        <v>38</v>
      </c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">
      <c r="A22" s="87">
        <v>6</v>
      </c>
      <c r="B22" s="88" t="s">
        <v>371</v>
      </c>
      <c r="C22" s="89" t="s">
        <v>372</v>
      </c>
      <c r="D22" s="89" t="s">
        <v>373</v>
      </c>
      <c r="E22" s="89" t="s">
        <v>374</v>
      </c>
      <c r="F22" s="3" t="s">
        <v>43</v>
      </c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">
      <c r="A23" s="87">
        <v>7</v>
      </c>
      <c r="B23" s="88" t="s">
        <v>375</v>
      </c>
      <c r="C23" s="89" t="s">
        <v>376</v>
      </c>
      <c r="D23" s="89" t="s">
        <v>85</v>
      </c>
      <c r="E23" s="89" t="s">
        <v>377</v>
      </c>
      <c r="F23" s="61" t="s">
        <v>43</v>
      </c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87">
        <v>8</v>
      </c>
      <c r="B24" s="88" t="s">
        <v>378</v>
      </c>
      <c r="C24" s="89" t="s">
        <v>62</v>
      </c>
      <c r="D24" s="89" t="s">
        <v>379</v>
      </c>
      <c r="E24" s="89" t="s">
        <v>380</v>
      </c>
      <c r="F24" s="61" t="s">
        <v>43</v>
      </c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87">
        <v>9</v>
      </c>
      <c r="B25" s="88" t="s">
        <v>381</v>
      </c>
      <c r="C25" s="89" t="s">
        <v>382</v>
      </c>
      <c r="D25" s="89" t="s">
        <v>383</v>
      </c>
      <c r="E25" s="89" t="s">
        <v>384</v>
      </c>
      <c r="F25" s="61" t="s">
        <v>38</v>
      </c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87">
        <v>10</v>
      </c>
      <c r="B26" s="88" t="s">
        <v>385</v>
      </c>
      <c r="C26" s="89" t="s">
        <v>386</v>
      </c>
      <c r="D26" s="89" t="s">
        <v>387</v>
      </c>
      <c r="E26" s="89" t="s">
        <v>388</v>
      </c>
      <c r="F26" s="61" t="s">
        <v>38</v>
      </c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87">
        <v>11</v>
      </c>
      <c r="B27" s="92" t="s">
        <v>389</v>
      </c>
      <c r="C27" s="93" t="s">
        <v>85</v>
      </c>
      <c r="D27" s="93" t="s">
        <v>390</v>
      </c>
      <c r="E27" s="95" t="s">
        <v>391</v>
      </c>
      <c r="F27" s="61" t="s">
        <v>38</v>
      </c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87">
        <v>12</v>
      </c>
      <c r="B28" s="88" t="s">
        <v>392</v>
      </c>
      <c r="C28" s="89" t="s">
        <v>393</v>
      </c>
      <c r="D28" s="89" t="s">
        <v>394</v>
      </c>
      <c r="E28" s="94" t="s">
        <v>173</v>
      </c>
      <c r="F28" s="61" t="s">
        <v>38</v>
      </c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5">
      <c r="A29" s="87">
        <v>13</v>
      </c>
      <c r="B29" s="90" t="s">
        <v>395</v>
      </c>
      <c r="C29" s="91" t="s">
        <v>73</v>
      </c>
      <c r="D29" s="91" t="s">
        <v>396</v>
      </c>
      <c r="E29" s="96" t="s">
        <v>397</v>
      </c>
      <c r="F29" s="61" t="s">
        <v>38</v>
      </c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">
      <c r="A30" s="87">
        <v>14</v>
      </c>
      <c r="B30" s="88" t="s">
        <v>398</v>
      </c>
      <c r="C30" s="89" t="s">
        <v>399</v>
      </c>
      <c r="D30" s="89" t="s">
        <v>400</v>
      </c>
      <c r="E30" s="94" t="s">
        <v>401</v>
      </c>
      <c r="F30" s="61" t="s">
        <v>38</v>
      </c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5">
      <c r="A31" s="87">
        <v>15</v>
      </c>
      <c r="B31" s="90" t="s">
        <v>402</v>
      </c>
      <c r="C31" s="91" t="s">
        <v>84</v>
      </c>
      <c r="D31" s="91" t="s">
        <v>103</v>
      </c>
      <c r="E31" s="97" t="s">
        <v>403</v>
      </c>
      <c r="F31" s="61" t="s">
        <v>38</v>
      </c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5">
      <c r="A32" s="87">
        <v>16</v>
      </c>
      <c r="B32" s="90" t="s">
        <v>404</v>
      </c>
      <c r="C32" s="91" t="s">
        <v>405</v>
      </c>
      <c r="D32" s="91" t="s">
        <v>406</v>
      </c>
      <c r="E32" s="96" t="s">
        <v>407</v>
      </c>
      <c r="F32" s="61" t="s">
        <v>43</v>
      </c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">
      <c r="A33" s="87">
        <v>17</v>
      </c>
      <c r="B33" s="88" t="s">
        <v>408</v>
      </c>
      <c r="C33" s="89" t="s">
        <v>409</v>
      </c>
      <c r="D33" s="89" t="s">
        <v>112</v>
      </c>
      <c r="E33" s="94" t="s">
        <v>141</v>
      </c>
      <c r="F33" s="61" t="s">
        <v>38</v>
      </c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">
      <c r="A34" s="87">
        <v>18</v>
      </c>
      <c r="B34" s="88" t="s">
        <v>410</v>
      </c>
      <c r="C34" s="89" t="s">
        <v>96</v>
      </c>
      <c r="D34" s="89" t="s">
        <v>411</v>
      </c>
      <c r="E34" s="94" t="s">
        <v>412</v>
      </c>
      <c r="F34" s="61" t="s">
        <v>43</v>
      </c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87">
        <v>19</v>
      </c>
      <c r="B35" s="88" t="s">
        <v>413</v>
      </c>
      <c r="C35" s="89" t="s">
        <v>93</v>
      </c>
      <c r="D35" s="89" t="s">
        <v>414</v>
      </c>
      <c r="E35" s="94" t="s">
        <v>415</v>
      </c>
      <c r="F35" s="61" t="s">
        <v>38</v>
      </c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87">
        <v>20</v>
      </c>
      <c r="B36" s="88" t="s">
        <v>416</v>
      </c>
      <c r="C36" s="89" t="s">
        <v>417</v>
      </c>
      <c r="D36" s="89" t="s">
        <v>418</v>
      </c>
      <c r="E36" s="94" t="s">
        <v>419</v>
      </c>
      <c r="F36" s="61" t="s">
        <v>38</v>
      </c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87">
        <v>21</v>
      </c>
      <c r="B37" s="88"/>
      <c r="C37" s="89" t="s">
        <v>420</v>
      </c>
      <c r="D37" s="89" t="s">
        <v>421</v>
      </c>
      <c r="E37" s="94" t="s">
        <v>422</v>
      </c>
      <c r="F37" s="61" t="s">
        <v>43</v>
      </c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87">
        <v>22</v>
      </c>
      <c r="B38" s="88" t="s">
        <v>423</v>
      </c>
      <c r="C38" s="89" t="s">
        <v>424</v>
      </c>
      <c r="D38" s="89" t="s">
        <v>425</v>
      </c>
      <c r="E38" s="94" t="s">
        <v>426</v>
      </c>
      <c r="F38" s="61" t="s">
        <v>43</v>
      </c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87">
        <v>23</v>
      </c>
      <c r="B39" s="88"/>
      <c r="C39" s="89" t="s">
        <v>427</v>
      </c>
      <c r="D39" s="89" t="s">
        <v>219</v>
      </c>
      <c r="E39" s="94" t="s">
        <v>428</v>
      </c>
      <c r="F39" s="61" t="s">
        <v>43</v>
      </c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87">
        <v>24</v>
      </c>
      <c r="B40" s="88" t="s">
        <v>429</v>
      </c>
      <c r="C40" s="89" t="s">
        <v>430</v>
      </c>
      <c r="D40" s="89" t="s">
        <v>431</v>
      </c>
      <c r="E40" s="94" t="s">
        <v>432</v>
      </c>
      <c r="F40" s="61" t="s">
        <v>43</v>
      </c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87">
        <v>25</v>
      </c>
      <c r="B41" s="88" t="s">
        <v>433</v>
      </c>
      <c r="C41" s="89" t="s">
        <v>140</v>
      </c>
      <c r="D41" s="89" t="s">
        <v>84</v>
      </c>
      <c r="E41" s="94" t="s">
        <v>434</v>
      </c>
      <c r="F41" s="61" t="s">
        <v>38</v>
      </c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87">
        <v>26</v>
      </c>
      <c r="B42" s="88" t="s">
        <v>435</v>
      </c>
      <c r="C42" s="89" t="s">
        <v>188</v>
      </c>
      <c r="D42" s="89" t="s">
        <v>421</v>
      </c>
      <c r="E42" s="94" t="s">
        <v>436</v>
      </c>
      <c r="F42" s="61" t="s">
        <v>43</v>
      </c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87">
        <v>27</v>
      </c>
      <c r="B43" s="88" t="s">
        <v>437</v>
      </c>
      <c r="C43" s="89" t="s">
        <v>438</v>
      </c>
      <c r="D43" s="89" t="s">
        <v>439</v>
      </c>
      <c r="E43" s="94" t="s">
        <v>283</v>
      </c>
      <c r="F43" s="61" t="s">
        <v>38</v>
      </c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87">
        <v>28</v>
      </c>
      <c r="B44" s="88" t="s">
        <v>440</v>
      </c>
      <c r="C44" s="89" t="s">
        <v>238</v>
      </c>
      <c r="D44" s="89" t="s">
        <v>441</v>
      </c>
      <c r="E44" s="94" t="s">
        <v>442</v>
      </c>
      <c r="F44" s="61" t="s">
        <v>38</v>
      </c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87">
        <v>29</v>
      </c>
      <c r="B45" s="88" t="s">
        <v>443</v>
      </c>
      <c r="C45" s="89" t="s">
        <v>70</v>
      </c>
      <c r="D45" s="89" t="s">
        <v>444</v>
      </c>
      <c r="E45" s="94" t="s">
        <v>445</v>
      </c>
      <c r="F45" s="61" t="s">
        <v>43</v>
      </c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">
      <c r="A46" s="87">
        <v>30</v>
      </c>
      <c r="B46" s="88" t="s">
        <v>446</v>
      </c>
      <c r="C46" s="89" t="s">
        <v>242</v>
      </c>
      <c r="D46" s="89" t="s">
        <v>447</v>
      </c>
      <c r="E46" s="94" t="s">
        <v>448</v>
      </c>
      <c r="F46" s="61" t="s">
        <v>38</v>
      </c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87">
        <v>31</v>
      </c>
      <c r="B47" s="88" t="s">
        <v>449</v>
      </c>
      <c r="C47" s="89" t="s">
        <v>135</v>
      </c>
      <c r="D47" s="89" t="s">
        <v>450</v>
      </c>
      <c r="E47" s="94" t="s">
        <v>451</v>
      </c>
      <c r="F47" s="61" t="s">
        <v>43</v>
      </c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87">
        <v>32</v>
      </c>
      <c r="B48" s="88" t="s">
        <v>452</v>
      </c>
      <c r="C48" s="89" t="s">
        <v>453</v>
      </c>
      <c r="D48" s="89" t="s">
        <v>184</v>
      </c>
      <c r="E48" s="94" t="s">
        <v>454</v>
      </c>
      <c r="F48" s="61" t="s">
        <v>43</v>
      </c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87">
        <v>33</v>
      </c>
      <c r="B49" s="88" t="s">
        <v>455</v>
      </c>
      <c r="C49" s="89" t="s">
        <v>456</v>
      </c>
      <c r="D49" s="89" t="s">
        <v>457</v>
      </c>
      <c r="E49" s="94" t="s">
        <v>458</v>
      </c>
      <c r="F49" s="61" t="s">
        <v>38</v>
      </c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87">
        <v>34</v>
      </c>
      <c r="B50" s="88" t="s">
        <v>459</v>
      </c>
      <c r="C50" s="89" t="s">
        <v>82</v>
      </c>
      <c r="D50" s="89" t="s">
        <v>460</v>
      </c>
      <c r="E50" s="94" t="s">
        <v>461</v>
      </c>
      <c r="F50" s="61" t="s">
        <v>38</v>
      </c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4.25" customHeight="1" x14ac:dyDescent="0.2">
      <c r="A51" s="87">
        <v>35</v>
      </c>
      <c r="B51" s="88" t="s">
        <v>462</v>
      </c>
      <c r="C51" s="89" t="s">
        <v>463</v>
      </c>
      <c r="D51" s="89" t="s">
        <v>162</v>
      </c>
      <c r="E51" s="94" t="s">
        <v>464</v>
      </c>
      <c r="F51" s="61" t="s">
        <v>43</v>
      </c>
      <c r="G51" s="62"/>
      <c r="H51" s="63"/>
      <c r="I51" s="63"/>
      <c r="J51" s="63"/>
      <c r="K51" s="64"/>
      <c r="L51" s="64"/>
      <c r="M51" s="65"/>
      <c r="N51" s="64"/>
      <c r="O51" s="64"/>
      <c r="P51" s="64"/>
      <c r="Q51" s="64"/>
      <c r="R51" s="64"/>
      <c r="S51" s="64"/>
      <c r="T51" s="64"/>
      <c r="U51" s="64"/>
      <c r="V51" s="64"/>
      <c r="W51" s="66"/>
      <c r="X51" s="64"/>
      <c r="Y51" s="64"/>
      <c r="Z51" s="64"/>
      <c r="AA51" s="67"/>
      <c r="AB51" s="67"/>
      <c r="AC51" s="67"/>
      <c r="AD51" s="68"/>
      <c r="AE51" s="69"/>
      <c r="AF51" s="69"/>
      <c r="AG51" s="69"/>
      <c r="AH51" s="70"/>
      <c r="AI51" s="69"/>
      <c r="AJ51" s="69"/>
      <c r="AK51" s="69"/>
      <c r="AL51" s="69"/>
      <c r="AM51" s="70"/>
      <c r="AN51" s="69"/>
      <c r="AO51" s="71"/>
      <c r="AP51" s="72"/>
    </row>
    <row r="52" spans="1:42" ht="12.75" customHeight="1" x14ac:dyDescent="0.2">
      <c r="E52" s="11">
        <f>COUNTIFS(F17:F51,"H")</f>
        <v>15</v>
      </c>
      <c r="F52" s="11" t="s">
        <v>43</v>
      </c>
    </row>
    <row r="53" spans="1:42" ht="12.75" customHeight="1" x14ac:dyDescent="0.2">
      <c r="E53" s="11">
        <f>COUNTIFS(F17:F51,"M")</f>
        <v>20</v>
      </c>
      <c r="F53" s="3" t="s">
        <v>38</v>
      </c>
    </row>
    <row r="54" spans="1:42" ht="12.75" customHeight="1" x14ac:dyDescent="0.2">
      <c r="E54" s="11">
        <f>SUM(E52:E53)</f>
        <v>35</v>
      </c>
      <c r="F54" s="11"/>
    </row>
    <row r="55" spans="1:42" ht="12.75" customHeight="1" x14ac:dyDescent="0.2">
      <c r="E55" s="11"/>
      <c r="F55" s="3"/>
      <c r="G55" s="82">
        <f>COUNTIFS(G17:G51,"pag")</f>
        <v>0</v>
      </c>
    </row>
    <row r="56" spans="1:42" ht="12.75" customHeight="1" x14ac:dyDescent="0.2">
      <c r="E56" s="11"/>
      <c r="F56" s="11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42" ht="12.75" customHeight="1" x14ac:dyDescent="0.2">
      <c r="B57" s="84" t="s">
        <v>154</v>
      </c>
      <c r="C57" s="85"/>
      <c r="D57" s="85"/>
      <c r="F57" s="3"/>
      <c r="G57" s="84" t="s">
        <v>155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F63" s="3"/>
    </row>
    <row r="64" spans="1:42" ht="12.75" customHeight="1" x14ac:dyDescent="0.2">
      <c r="B64" s="86"/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</sheetData>
  <mergeCells count="14">
    <mergeCell ref="G57:X57"/>
    <mergeCell ref="A9:B9"/>
    <mergeCell ref="C9:E9"/>
    <mergeCell ref="A10:B10"/>
    <mergeCell ref="C10:E10"/>
    <mergeCell ref="A11:B11"/>
    <mergeCell ref="B57:D57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4"/>
  <sheetViews>
    <sheetView view="pageBreakPreview" zoomScale="140" zoomScaleNormal="85" zoomScaleSheetLayoutView="140" workbookViewId="0">
      <selection activeCell="E14" sqref="E14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465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87">
        <v>1</v>
      </c>
      <c r="B17" s="88" t="s">
        <v>466</v>
      </c>
      <c r="C17" s="89" t="s">
        <v>467</v>
      </c>
      <c r="D17" s="89" t="s">
        <v>431</v>
      </c>
      <c r="E17" s="89" t="s">
        <v>468</v>
      </c>
      <c r="F17" s="61" t="s">
        <v>38</v>
      </c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87">
        <v>2</v>
      </c>
      <c r="B18" s="88" t="s">
        <v>469</v>
      </c>
      <c r="C18" s="89" t="s">
        <v>470</v>
      </c>
      <c r="D18" s="89" t="s">
        <v>399</v>
      </c>
      <c r="E18" s="89" t="s">
        <v>471</v>
      </c>
      <c r="F18" s="61" t="s">
        <v>38</v>
      </c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">
      <c r="A19" s="87">
        <v>3</v>
      </c>
      <c r="B19" s="88" t="s">
        <v>472</v>
      </c>
      <c r="C19" s="89" t="s">
        <v>473</v>
      </c>
      <c r="D19" s="89" t="s">
        <v>474</v>
      </c>
      <c r="E19" s="89" t="s">
        <v>475</v>
      </c>
      <c r="F19" s="61" t="s">
        <v>38</v>
      </c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5">
      <c r="A20" s="87">
        <v>4</v>
      </c>
      <c r="B20" s="90" t="s">
        <v>476</v>
      </c>
      <c r="C20" s="91" t="s">
        <v>477</v>
      </c>
      <c r="D20" s="91" t="s">
        <v>53</v>
      </c>
      <c r="E20" s="91" t="s">
        <v>478</v>
      </c>
      <c r="F20" s="61" t="s">
        <v>43</v>
      </c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">
      <c r="A21" s="87">
        <v>5</v>
      </c>
      <c r="B21" s="92" t="s">
        <v>479</v>
      </c>
      <c r="C21" s="93" t="s">
        <v>480</v>
      </c>
      <c r="D21" s="93" t="s">
        <v>77</v>
      </c>
      <c r="E21" s="93" t="s">
        <v>481</v>
      </c>
      <c r="F21" s="61" t="s">
        <v>43</v>
      </c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5">
      <c r="A22" s="87">
        <v>6</v>
      </c>
      <c r="B22" s="90" t="s">
        <v>482</v>
      </c>
      <c r="C22" s="91" t="s">
        <v>483</v>
      </c>
      <c r="D22" s="91" t="s">
        <v>484</v>
      </c>
      <c r="E22" s="91" t="s">
        <v>485</v>
      </c>
      <c r="F22" s="3" t="s">
        <v>38</v>
      </c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">
      <c r="A23" s="87">
        <v>7</v>
      </c>
      <c r="B23" s="88" t="s">
        <v>486</v>
      </c>
      <c r="C23" s="89" t="s">
        <v>487</v>
      </c>
      <c r="D23" s="89" t="s">
        <v>488</v>
      </c>
      <c r="E23" s="89" t="s">
        <v>489</v>
      </c>
      <c r="F23" s="61" t="s">
        <v>43</v>
      </c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87">
        <v>8</v>
      </c>
      <c r="B24" s="88" t="s">
        <v>490</v>
      </c>
      <c r="C24" s="89" t="s">
        <v>491</v>
      </c>
      <c r="D24" s="89" t="s">
        <v>492</v>
      </c>
      <c r="E24" s="89" t="s">
        <v>493</v>
      </c>
      <c r="F24" s="61" t="s">
        <v>43</v>
      </c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87">
        <v>9</v>
      </c>
      <c r="B25" s="88" t="s">
        <v>494</v>
      </c>
      <c r="C25" s="89" t="s">
        <v>495</v>
      </c>
      <c r="D25" s="89" t="s">
        <v>195</v>
      </c>
      <c r="E25" s="89" t="s">
        <v>496</v>
      </c>
      <c r="F25" s="61" t="s">
        <v>43</v>
      </c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87">
        <v>10</v>
      </c>
      <c r="B26" s="88" t="s">
        <v>497</v>
      </c>
      <c r="C26" s="89" t="s">
        <v>498</v>
      </c>
      <c r="D26" s="89" t="s">
        <v>294</v>
      </c>
      <c r="E26" s="89" t="s">
        <v>499</v>
      </c>
      <c r="F26" s="61" t="s">
        <v>43</v>
      </c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87">
        <v>11</v>
      </c>
      <c r="B27" s="92" t="s">
        <v>500</v>
      </c>
      <c r="C27" s="93" t="s">
        <v>501</v>
      </c>
      <c r="D27" s="93" t="s">
        <v>421</v>
      </c>
      <c r="E27" s="95" t="s">
        <v>502</v>
      </c>
      <c r="F27" s="61" t="s">
        <v>38</v>
      </c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87">
        <v>12</v>
      </c>
      <c r="B28" s="88" t="s">
        <v>503</v>
      </c>
      <c r="C28" s="89" t="s">
        <v>297</v>
      </c>
      <c r="D28" s="89" t="s">
        <v>84</v>
      </c>
      <c r="E28" s="94" t="s">
        <v>504</v>
      </c>
      <c r="F28" s="61" t="s">
        <v>38</v>
      </c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5">
      <c r="A29" s="87">
        <v>13</v>
      </c>
      <c r="B29" s="90" t="s">
        <v>505</v>
      </c>
      <c r="C29" s="91" t="s">
        <v>439</v>
      </c>
      <c r="D29" s="91" t="s">
        <v>506</v>
      </c>
      <c r="E29" s="96" t="s">
        <v>283</v>
      </c>
      <c r="F29" s="61" t="s">
        <v>38</v>
      </c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">
      <c r="A30" s="87">
        <v>14</v>
      </c>
      <c r="B30" s="88" t="s">
        <v>507</v>
      </c>
      <c r="C30" s="89" t="s">
        <v>84</v>
      </c>
      <c r="D30" s="89" t="s">
        <v>318</v>
      </c>
      <c r="E30" s="94" t="s">
        <v>508</v>
      </c>
      <c r="F30" s="61" t="s">
        <v>43</v>
      </c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5">
      <c r="A31" s="87">
        <v>15</v>
      </c>
      <c r="B31" s="90" t="s">
        <v>509</v>
      </c>
      <c r="C31" s="91" t="s">
        <v>510</v>
      </c>
      <c r="D31" s="91" t="s">
        <v>84</v>
      </c>
      <c r="E31" s="97" t="s">
        <v>511</v>
      </c>
      <c r="F31" s="61" t="s">
        <v>38</v>
      </c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">
      <c r="A32" s="87">
        <v>16</v>
      </c>
      <c r="B32" s="88" t="s">
        <v>512</v>
      </c>
      <c r="C32" s="89" t="s">
        <v>513</v>
      </c>
      <c r="D32" s="89" t="s">
        <v>514</v>
      </c>
      <c r="E32" s="89" t="s">
        <v>515</v>
      </c>
      <c r="F32" s="61" t="s">
        <v>43</v>
      </c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">
      <c r="A33" s="87">
        <v>17</v>
      </c>
      <c r="B33" s="88" t="s">
        <v>516</v>
      </c>
      <c r="C33" s="89" t="s">
        <v>417</v>
      </c>
      <c r="D33" s="89" t="s">
        <v>517</v>
      </c>
      <c r="E33" s="94" t="s">
        <v>518</v>
      </c>
      <c r="F33" s="61" t="s">
        <v>38</v>
      </c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">
      <c r="A34" s="87">
        <v>18</v>
      </c>
      <c r="B34" s="88" t="s">
        <v>519</v>
      </c>
      <c r="C34" s="89" t="s">
        <v>215</v>
      </c>
      <c r="D34" s="89" t="s">
        <v>405</v>
      </c>
      <c r="E34" s="94" t="s">
        <v>520</v>
      </c>
      <c r="F34" s="61" t="s">
        <v>43</v>
      </c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87">
        <v>19</v>
      </c>
      <c r="B35" s="88" t="s">
        <v>521</v>
      </c>
      <c r="C35" s="89" t="s">
        <v>522</v>
      </c>
      <c r="D35" s="89" t="s">
        <v>523</v>
      </c>
      <c r="E35" s="94" t="s">
        <v>524</v>
      </c>
      <c r="F35" s="61" t="s">
        <v>38</v>
      </c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87">
        <v>20</v>
      </c>
      <c r="B36" s="88" t="s">
        <v>525</v>
      </c>
      <c r="C36" s="89" t="s">
        <v>526</v>
      </c>
      <c r="D36" s="89" t="s">
        <v>527</v>
      </c>
      <c r="E36" s="94" t="s">
        <v>528</v>
      </c>
      <c r="F36" s="61" t="s">
        <v>38</v>
      </c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87">
        <v>21</v>
      </c>
      <c r="B37" s="88" t="s">
        <v>529</v>
      </c>
      <c r="C37" s="89" t="s">
        <v>140</v>
      </c>
      <c r="D37" s="89" t="s">
        <v>530</v>
      </c>
      <c r="E37" s="94" t="s">
        <v>333</v>
      </c>
      <c r="F37" s="61" t="s">
        <v>43</v>
      </c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87">
        <v>22</v>
      </c>
      <c r="B38" s="88" t="s">
        <v>531</v>
      </c>
      <c r="C38" s="89" t="s">
        <v>188</v>
      </c>
      <c r="D38" s="89" t="s">
        <v>431</v>
      </c>
      <c r="E38" s="94" t="s">
        <v>532</v>
      </c>
      <c r="F38" s="61" t="s">
        <v>38</v>
      </c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87">
        <v>23</v>
      </c>
      <c r="B39" s="88" t="s">
        <v>533</v>
      </c>
      <c r="C39" s="89" t="s">
        <v>116</v>
      </c>
      <c r="D39" s="89" t="s">
        <v>534</v>
      </c>
      <c r="E39" s="94" t="s">
        <v>535</v>
      </c>
      <c r="F39" s="61" t="s">
        <v>43</v>
      </c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87">
        <v>24</v>
      </c>
      <c r="B40" s="88" t="s">
        <v>536</v>
      </c>
      <c r="C40" s="89" t="s">
        <v>537</v>
      </c>
      <c r="D40" s="89" t="s">
        <v>538</v>
      </c>
      <c r="E40" s="94" t="s">
        <v>539</v>
      </c>
      <c r="F40" s="61" t="s">
        <v>43</v>
      </c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87">
        <v>25</v>
      </c>
      <c r="B41" s="88" t="s">
        <v>540</v>
      </c>
      <c r="C41" s="89" t="s">
        <v>159</v>
      </c>
      <c r="D41" s="89" t="s">
        <v>441</v>
      </c>
      <c r="E41" s="94" t="s">
        <v>541</v>
      </c>
      <c r="F41" s="61" t="s">
        <v>43</v>
      </c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87">
        <v>26</v>
      </c>
      <c r="B42" s="88" t="s">
        <v>542</v>
      </c>
      <c r="C42" s="89" t="s">
        <v>543</v>
      </c>
      <c r="D42" s="89" t="s">
        <v>544</v>
      </c>
      <c r="E42" s="94" t="s">
        <v>333</v>
      </c>
      <c r="F42" s="61" t="s">
        <v>43</v>
      </c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87">
        <v>27</v>
      </c>
      <c r="B43" s="88" t="s">
        <v>545</v>
      </c>
      <c r="C43" s="89" t="s">
        <v>135</v>
      </c>
      <c r="D43" s="89" t="s">
        <v>294</v>
      </c>
      <c r="E43" s="94" t="s">
        <v>546</v>
      </c>
      <c r="F43" s="61" t="s">
        <v>38</v>
      </c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87">
        <v>28</v>
      </c>
      <c r="B44" s="88" t="s">
        <v>547</v>
      </c>
      <c r="C44" s="89" t="s">
        <v>548</v>
      </c>
      <c r="D44" s="89" t="s">
        <v>549</v>
      </c>
      <c r="E44" s="94" t="s">
        <v>550</v>
      </c>
      <c r="F44" s="61" t="s">
        <v>43</v>
      </c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87">
        <v>29</v>
      </c>
      <c r="B45" s="88" t="s">
        <v>551</v>
      </c>
      <c r="C45" s="89" t="s">
        <v>216</v>
      </c>
      <c r="D45" s="89" t="s">
        <v>552</v>
      </c>
      <c r="E45" s="94" t="s">
        <v>553</v>
      </c>
      <c r="F45" s="61" t="s">
        <v>38</v>
      </c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5">
      <c r="A46" s="87">
        <v>30</v>
      </c>
      <c r="B46" s="90">
        <v>26311178</v>
      </c>
      <c r="C46" s="91" t="s">
        <v>554</v>
      </c>
      <c r="D46" s="91" t="s">
        <v>77</v>
      </c>
      <c r="E46" s="97" t="s">
        <v>555</v>
      </c>
      <c r="F46" s="61" t="s">
        <v>38</v>
      </c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87">
        <v>31</v>
      </c>
      <c r="B47" s="88" t="s">
        <v>556</v>
      </c>
      <c r="C47" s="89" t="s">
        <v>557</v>
      </c>
      <c r="D47" s="89" t="s">
        <v>558</v>
      </c>
      <c r="E47" s="94" t="s">
        <v>559</v>
      </c>
      <c r="F47" s="61" t="s">
        <v>43</v>
      </c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87">
        <v>32</v>
      </c>
      <c r="B48" s="88"/>
      <c r="C48" s="89" t="s">
        <v>255</v>
      </c>
      <c r="D48" s="89" t="s">
        <v>84</v>
      </c>
      <c r="E48" s="94" t="s">
        <v>560</v>
      </c>
      <c r="F48" s="61" t="s">
        <v>38</v>
      </c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87">
        <v>33</v>
      </c>
      <c r="B49" s="88"/>
      <c r="C49" s="89"/>
      <c r="D49" s="89"/>
      <c r="E49" s="94"/>
      <c r="F49" s="61"/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87">
        <v>34</v>
      </c>
      <c r="B50" s="88"/>
      <c r="C50" s="89"/>
      <c r="D50" s="89"/>
      <c r="E50" s="94"/>
      <c r="F50" s="61"/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2.75" customHeight="1" x14ac:dyDescent="0.2">
      <c r="E51" s="11">
        <f>COUNTIFS(F17:F50,"H")</f>
        <v>16</v>
      </c>
      <c r="F51" s="11" t="s">
        <v>43</v>
      </c>
    </row>
    <row r="52" spans="1:42" ht="12.75" customHeight="1" x14ac:dyDescent="0.2">
      <c r="E52" s="11">
        <f>COUNTIFS(F17:F50,"M")</f>
        <v>16</v>
      </c>
      <c r="F52" s="3" t="s">
        <v>38</v>
      </c>
    </row>
    <row r="53" spans="1:42" ht="12.75" customHeight="1" x14ac:dyDescent="0.2">
      <c r="E53" s="11">
        <f>SUM(E51:E52)</f>
        <v>32</v>
      </c>
      <c r="F53" s="11"/>
    </row>
    <row r="54" spans="1:42" ht="12.75" customHeight="1" x14ac:dyDescent="0.2">
      <c r="E54" s="11"/>
      <c r="F54" s="3"/>
      <c r="G54" s="82">
        <f>COUNTIFS(G17:G50,"pag")</f>
        <v>0</v>
      </c>
    </row>
    <row r="55" spans="1:42" ht="12.75" customHeight="1" x14ac:dyDescent="0.2">
      <c r="E55" s="11"/>
      <c r="F55" s="11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</row>
    <row r="56" spans="1:42" ht="12.75" customHeight="1" x14ac:dyDescent="0.2">
      <c r="B56" s="84" t="s">
        <v>154</v>
      </c>
      <c r="C56" s="85"/>
      <c r="D56" s="85"/>
      <c r="F56" s="3"/>
      <c r="G56" s="84" t="s">
        <v>155</v>
      </c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</row>
    <row r="57" spans="1:42" ht="12.75" customHeight="1" x14ac:dyDescent="0.2">
      <c r="F57" s="3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B63" s="86"/>
      <c r="F63" s="3"/>
    </row>
    <row r="64" spans="1:42" ht="12.75" customHeight="1" x14ac:dyDescent="0.2"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</sheetData>
  <mergeCells count="14">
    <mergeCell ref="G56:X56"/>
    <mergeCell ref="A9:B9"/>
    <mergeCell ref="C9:E9"/>
    <mergeCell ref="A10:B10"/>
    <mergeCell ref="C10:E10"/>
    <mergeCell ref="A11:B11"/>
    <mergeCell ref="B56:D56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5"/>
  <sheetViews>
    <sheetView tabSelected="1" view="pageBreakPreview" zoomScale="140" zoomScaleNormal="85" zoomScaleSheetLayoutView="140" workbookViewId="0">
      <selection activeCell="E14" sqref="E14"/>
    </sheetView>
  </sheetViews>
  <sheetFormatPr baseColWidth="10" defaultColWidth="12.5703125" defaultRowHeight="15" customHeight="1" x14ac:dyDescent="0.2"/>
  <cols>
    <col min="1" max="1" width="4.140625" style="2" customWidth="1"/>
    <col min="2" max="2" width="16.5703125" style="2" customWidth="1"/>
    <col min="3" max="3" width="19.140625" style="2" customWidth="1"/>
    <col min="4" max="4" width="24.28515625" style="2" customWidth="1"/>
    <col min="5" max="5" width="33.28515625" style="2" customWidth="1"/>
    <col min="6" max="6" width="1.7109375" style="2" customWidth="1"/>
    <col min="7" max="18" width="2.7109375" style="2" customWidth="1"/>
    <col min="19" max="19" width="2.85546875" style="2" customWidth="1"/>
    <col min="20" max="29" width="2.7109375" style="2" customWidth="1"/>
    <col min="30" max="30" width="1.7109375" style="2" customWidth="1"/>
    <col min="31" max="33" width="5.7109375" style="2" customWidth="1"/>
    <col min="34" max="34" width="1.7109375" style="2" customWidth="1"/>
    <col min="35" max="38" width="5.7109375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.75" customHeight="1" x14ac:dyDescent="0.3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4"/>
      <c r="D9" s="35"/>
      <c r="E9" s="36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4" t="s">
        <v>561</v>
      </c>
      <c r="D10" s="35"/>
      <c r="E10" s="36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7" t="s">
        <v>21</v>
      </c>
      <c r="D11" s="38"/>
      <c r="E11" s="39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40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41"/>
      <c r="B12" s="42"/>
      <c r="C12" s="43"/>
      <c r="D12" s="43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4" t="s">
        <v>24</v>
      </c>
      <c r="AF12" s="45" t="s">
        <v>25</v>
      </c>
      <c r="AG12" s="45"/>
      <c r="AH12" s="45"/>
      <c r="AI12" s="45"/>
      <c r="AJ12" s="45"/>
      <c r="AK12" s="45"/>
      <c r="AL12" s="45"/>
      <c r="AM12" s="45"/>
      <c r="AN12" s="46"/>
    </row>
    <row r="13" spans="1:42" ht="9.75" customHeight="1" x14ac:dyDescent="0.2">
      <c r="B13" s="47"/>
      <c r="C13" s="47"/>
      <c r="D13" s="47"/>
      <c r="E13" s="47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8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9"/>
      <c r="B14" s="50"/>
      <c r="C14" s="50"/>
      <c r="D14" s="50"/>
      <c r="E14" s="50"/>
      <c r="F14" s="3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52" t="s">
        <v>26</v>
      </c>
      <c r="F15" s="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4"/>
      <c r="AE15" s="55" t="s">
        <v>0</v>
      </c>
      <c r="AF15" s="55" t="s">
        <v>5</v>
      </c>
      <c r="AG15" s="55" t="s">
        <v>27</v>
      </c>
      <c r="AH15" s="56"/>
      <c r="AI15" s="55" t="s">
        <v>11</v>
      </c>
      <c r="AJ15" s="55" t="s">
        <v>14</v>
      </c>
      <c r="AK15" s="55" t="s">
        <v>18</v>
      </c>
      <c r="AL15" s="55" t="s">
        <v>22</v>
      </c>
      <c r="AM15" s="56"/>
      <c r="AN15" s="55" t="s">
        <v>24</v>
      </c>
      <c r="AP15" s="57" t="s">
        <v>28</v>
      </c>
    </row>
    <row r="16" spans="1:42" ht="15" customHeight="1" x14ac:dyDescent="0.2">
      <c r="A16" s="47" t="s">
        <v>29</v>
      </c>
      <c r="B16" s="47" t="s">
        <v>30</v>
      </c>
      <c r="C16" s="47" t="s">
        <v>31</v>
      </c>
      <c r="D16" s="47" t="s">
        <v>32</v>
      </c>
      <c r="E16" s="47" t="s">
        <v>33</v>
      </c>
      <c r="F16" s="3"/>
      <c r="G16" s="4"/>
      <c r="AD16" s="11"/>
      <c r="AH16" s="11"/>
      <c r="AM16" s="11"/>
    </row>
    <row r="17" spans="1:42" ht="14.25" customHeight="1" x14ac:dyDescent="0.2">
      <c r="A17" s="87">
        <v>1</v>
      </c>
      <c r="B17" s="88" t="s">
        <v>562</v>
      </c>
      <c r="C17" s="89" t="s">
        <v>563</v>
      </c>
      <c r="D17" s="89" t="s">
        <v>127</v>
      </c>
      <c r="E17" s="89" t="s">
        <v>564</v>
      </c>
      <c r="F17" s="61"/>
      <c r="G17" s="62"/>
      <c r="H17" s="63"/>
      <c r="I17" s="63"/>
      <c r="J17" s="63"/>
      <c r="K17" s="64"/>
      <c r="L17" s="64"/>
      <c r="M17" s="65"/>
      <c r="N17" s="64"/>
      <c r="O17" s="64"/>
      <c r="P17" s="64"/>
      <c r="Q17" s="64"/>
      <c r="R17" s="64"/>
      <c r="S17" s="64"/>
      <c r="T17" s="64"/>
      <c r="U17" s="64"/>
      <c r="V17" s="64"/>
      <c r="W17" s="66"/>
      <c r="X17" s="64"/>
      <c r="Y17" s="64"/>
      <c r="Z17" s="64"/>
      <c r="AA17" s="67"/>
      <c r="AB17" s="67"/>
      <c r="AC17" s="67"/>
      <c r="AD17" s="68"/>
      <c r="AE17" s="69"/>
      <c r="AF17" s="69"/>
      <c r="AG17" s="69"/>
      <c r="AH17" s="70"/>
      <c r="AI17" s="69"/>
      <c r="AJ17" s="69"/>
      <c r="AK17" s="69"/>
      <c r="AL17" s="69"/>
      <c r="AM17" s="70"/>
      <c r="AN17" s="69"/>
      <c r="AO17" s="71"/>
      <c r="AP17" s="72"/>
    </row>
    <row r="18" spans="1:42" ht="14.25" customHeight="1" x14ac:dyDescent="0.2">
      <c r="A18" s="87">
        <v>2</v>
      </c>
      <c r="B18" s="88" t="s">
        <v>565</v>
      </c>
      <c r="C18" s="89" t="s">
        <v>470</v>
      </c>
      <c r="D18" s="89" t="s">
        <v>566</v>
      </c>
      <c r="E18" s="89" t="s">
        <v>567</v>
      </c>
      <c r="F18" s="61"/>
      <c r="G18" s="62"/>
      <c r="H18" s="63"/>
      <c r="I18" s="63"/>
      <c r="J18" s="63"/>
      <c r="K18" s="64"/>
      <c r="L18" s="64"/>
      <c r="M18" s="65"/>
      <c r="N18" s="64"/>
      <c r="O18" s="64"/>
      <c r="P18" s="64"/>
      <c r="Q18" s="64"/>
      <c r="R18" s="64"/>
      <c r="S18" s="64"/>
      <c r="T18" s="64"/>
      <c r="U18" s="64"/>
      <c r="V18" s="64"/>
      <c r="W18" s="66"/>
      <c r="X18" s="64"/>
      <c r="Y18" s="64"/>
      <c r="Z18" s="64"/>
      <c r="AA18" s="67"/>
      <c r="AB18" s="67"/>
      <c r="AC18" s="67"/>
      <c r="AD18" s="68"/>
      <c r="AE18" s="69"/>
      <c r="AF18" s="69"/>
      <c r="AG18" s="69"/>
      <c r="AH18" s="70"/>
      <c r="AI18" s="69"/>
      <c r="AJ18" s="69"/>
      <c r="AK18" s="69"/>
      <c r="AL18" s="69"/>
      <c r="AM18" s="70"/>
      <c r="AN18" s="69"/>
      <c r="AO18" s="71"/>
      <c r="AP18" s="72"/>
    </row>
    <row r="19" spans="1:42" ht="14.25" customHeight="1" x14ac:dyDescent="0.2">
      <c r="A19" s="87">
        <v>3</v>
      </c>
      <c r="B19" s="88" t="s">
        <v>568</v>
      </c>
      <c r="C19" s="89" t="s">
        <v>473</v>
      </c>
      <c r="D19" s="89" t="s">
        <v>139</v>
      </c>
      <c r="E19" s="89" t="s">
        <v>569</v>
      </c>
      <c r="F19" s="61"/>
      <c r="G19" s="62"/>
      <c r="H19" s="63"/>
      <c r="I19" s="63"/>
      <c r="J19" s="63"/>
      <c r="K19" s="64"/>
      <c r="L19" s="64"/>
      <c r="M19" s="65"/>
      <c r="N19" s="64"/>
      <c r="O19" s="64"/>
      <c r="P19" s="64"/>
      <c r="Q19" s="64"/>
      <c r="R19" s="64"/>
      <c r="S19" s="64"/>
      <c r="T19" s="64"/>
      <c r="U19" s="64"/>
      <c r="V19" s="64"/>
      <c r="W19" s="66"/>
      <c r="X19" s="64"/>
      <c r="Y19" s="64"/>
      <c r="Z19" s="64"/>
      <c r="AA19" s="67"/>
      <c r="AB19" s="67"/>
      <c r="AC19" s="67"/>
      <c r="AD19" s="68"/>
      <c r="AE19" s="69"/>
      <c r="AF19" s="69"/>
      <c r="AG19" s="69"/>
      <c r="AH19" s="70"/>
      <c r="AI19" s="69"/>
      <c r="AJ19" s="69"/>
      <c r="AK19" s="69"/>
      <c r="AL19" s="69"/>
      <c r="AM19" s="70"/>
      <c r="AN19" s="69"/>
      <c r="AO19" s="71"/>
      <c r="AP19" s="72"/>
    </row>
    <row r="20" spans="1:42" ht="14.25" customHeight="1" x14ac:dyDescent="0.25">
      <c r="A20" s="87">
        <v>4</v>
      </c>
      <c r="B20" s="90" t="s">
        <v>570</v>
      </c>
      <c r="C20" s="91" t="s">
        <v>373</v>
      </c>
      <c r="D20" s="91" t="s">
        <v>84</v>
      </c>
      <c r="E20" s="91" t="s">
        <v>571</v>
      </c>
      <c r="F20" s="61"/>
      <c r="G20" s="62"/>
      <c r="H20" s="63"/>
      <c r="I20" s="63"/>
      <c r="J20" s="63"/>
      <c r="K20" s="64"/>
      <c r="L20" s="64"/>
      <c r="M20" s="65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64"/>
      <c r="Y20" s="64"/>
      <c r="Z20" s="64"/>
      <c r="AA20" s="67"/>
      <c r="AB20" s="67"/>
      <c r="AC20" s="67"/>
      <c r="AD20" s="68"/>
      <c r="AE20" s="69"/>
      <c r="AF20" s="69"/>
      <c r="AG20" s="69"/>
      <c r="AH20" s="70"/>
      <c r="AI20" s="69"/>
      <c r="AJ20" s="69"/>
      <c r="AK20" s="69"/>
      <c r="AL20" s="69"/>
      <c r="AM20" s="70"/>
      <c r="AN20" s="69"/>
      <c r="AO20" s="71"/>
      <c r="AP20" s="72"/>
    </row>
    <row r="21" spans="1:42" ht="14.25" customHeight="1" x14ac:dyDescent="0.2">
      <c r="A21" s="87">
        <v>5</v>
      </c>
      <c r="B21" s="92" t="s">
        <v>572</v>
      </c>
      <c r="C21" s="93" t="s">
        <v>573</v>
      </c>
      <c r="D21" s="93" t="s">
        <v>574</v>
      </c>
      <c r="E21" s="93" t="s">
        <v>575</v>
      </c>
      <c r="F21" s="61"/>
      <c r="G21" s="62"/>
      <c r="H21" s="63"/>
      <c r="I21" s="63"/>
      <c r="J21" s="63"/>
      <c r="K21" s="64"/>
      <c r="L21" s="64"/>
      <c r="M21" s="65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64"/>
      <c r="Y21" s="64"/>
      <c r="Z21" s="64"/>
      <c r="AA21" s="67"/>
      <c r="AB21" s="67"/>
      <c r="AC21" s="67"/>
      <c r="AD21" s="68"/>
      <c r="AE21" s="69"/>
      <c r="AF21" s="69"/>
      <c r="AG21" s="69"/>
      <c r="AH21" s="70"/>
      <c r="AI21" s="69"/>
      <c r="AJ21" s="69"/>
      <c r="AK21" s="69"/>
      <c r="AL21" s="69"/>
      <c r="AM21" s="70"/>
      <c r="AN21" s="69"/>
      <c r="AO21" s="71"/>
      <c r="AP21" s="72"/>
    </row>
    <row r="22" spans="1:42" ht="14.25" customHeight="1" x14ac:dyDescent="0.25">
      <c r="A22" s="87">
        <v>6</v>
      </c>
      <c r="B22" s="90" t="s">
        <v>576</v>
      </c>
      <c r="C22" s="91" t="s">
        <v>577</v>
      </c>
      <c r="D22" s="91" t="s">
        <v>578</v>
      </c>
      <c r="E22" s="91" t="s">
        <v>579</v>
      </c>
      <c r="F22" s="3"/>
      <c r="G22" s="62"/>
      <c r="H22" s="63"/>
      <c r="I22" s="63"/>
      <c r="J22" s="63"/>
      <c r="K22" s="64"/>
      <c r="L22" s="64"/>
      <c r="M22" s="65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64"/>
      <c r="Y22" s="64"/>
      <c r="Z22" s="64"/>
      <c r="AA22" s="67"/>
      <c r="AB22" s="67"/>
      <c r="AC22" s="67"/>
      <c r="AD22" s="68"/>
      <c r="AE22" s="69"/>
      <c r="AF22" s="69"/>
      <c r="AG22" s="69"/>
      <c r="AH22" s="70"/>
      <c r="AI22" s="69"/>
      <c r="AJ22" s="69"/>
      <c r="AK22" s="69"/>
      <c r="AL22" s="69"/>
      <c r="AM22" s="70"/>
      <c r="AN22" s="69"/>
      <c r="AO22" s="71"/>
      <c r="AP22" s="72"/>
    </row>
    <row r="23" spans="1:42" ht="14.25" customHeight="1" x14ac:dyDescent="0.2">
      <c r="A23" s="87">
        <v>7</v>
      </c>
      <c r="B23" s="88" t="s">
        <v>580</v>
      </c>
      <c r="C23" s="89" t="s">
        <v>581</v>
      </c>
      <c r="D23" s="89" t="s">
        <v>88</v>
      </c>
      <c r="E23" s="89" t="s">
        <v>582</v>
      </c>
      <c r="F23" s="61"/>
      <c r="G23" s="62"/>
      <c r="H23" s="63"/>
      <c r="I23" s="63"/>
      <c r="J23" s="63"/>
      <c r="K23" s="64"/>
      <c r="L23" s="64"/>
      <c r="M23" s="65"/>
      <c r="N23" s="64"/>
      <c r="O23" s="64"/>
      <c r="P23" s="64"/>
      <c r="Q23" s="64"/>
      <c r="R23" s="64"/>
      <c r="S23" s="64"/>
      <c r="T23" s="64"/>
      <c r="U23" s="64"/>
      <c r="V23" s="64"/>
      <c r="W23" s="66"/>
      <c r="X23" s="64"/>
      <c r="Y23" s="64"/>
      <c r="Z23" s="64"/>
      <c r="AA23" s="67"/>
      <c r="AB23" s="67"/>
      <c r="AC23" s="67"/>
      <c r="AD23" s="68"/>
      <c r="AE23" s="69"/>
      <c r="AF23" s="69"/>
      <c r="AG23" s="69"/>
      <c r="AH23" s="70"/>
      <c r="AI23" s="69"/>
      <c r="AJ23" s="69"/>
      <c r="AK23" s="69"/>
      <c r="AL23" s="69"/>
      <c r="AM23" s="70"/>
      <c r="AN23" s="69"/>
      <c r="AO23" s="71"/>
      <c r="AP23" s="72"/>
    </row>
    <row r="24" spans="1:42" ht="14.25" customHeight="1" x14ac:dyDescent="0.2">
      <c r="A24" s="87">
        <v>8</v>
      </c>
      <c r="B24" s="88" t="s">
        <v>583</v>
      </c>
      <c r="C24" s="89" t="s">
        <v>584</v>
      </c>
      <c r="D24" s="89" t="s">
        <v>77</v>
      </c>
      <c r="E24" s="89" t="s">
        <v>585</v>
      </c>
      <c r="F24" s="61"/>
      <c r="G24" s="62"/>
      <c r="H24" s="63"/>
      <c r="I24" s="63"/>
      <c r="J24" s="63"/>
      <c r="K24" s="64"/>
      <c r="L24" s="64"/>
      <c r="M24" s="65"/>
      <c r="N24" s="64"/>
      <c r="O24" s="64"/>
      <c r="P24" s="64"/>
      <c r="Q24" s="64"/>
      <c r="R24" s="64"/>
      <c r="S24" s="64"/>
      <c r="T24" s="64"/>
      <c r="U24" s="64"/>
      <c r="V24" s="64"/>
      <c r="W24" s="66"/>
      <c r="X24" s="64"/>
      <c r="Y24" s="64"/>
      <c r="Z24" s="64"/>
      <c r="AA24" s="67"/>
      <c r="AB24" s="67"/>
      <c r="AC24" s="67"/>
      <c r="AD24" s="68"/>
      <c r="AE24" s="69"/>
      <c r="AF24" s="69"/>
      <c r="AG24" s="69"/>
      <c r="AH24" s="70"/>
      <c r="AI24" s="69"/>
      <c r="AJ24" s="69"/>
      <c r="AK24" s="69"/>
      <c r="AL24" s="69"/>
      <c r="AM24" s="70"/>
      <c r="AN24" s="69"/>
      <c r="AO24" s="71"/>
      <c r="AP24" s="72"/>
    </row>
    <row r="25" spans="1:42" ht="14.25" customHeight="1" x14ac:dyDescent="0.2">
      <c r="A25" s="87">
        <v>9</v>
      </c>
      <c r="B25" s="88" t="s">
        <v>586</v>
      </c>
      <c r="C25" s="89" t="s">
        <v>587</v>
      </c>
      <c r="D25" s="89" t="s">
        <v>148</v>
      </c>
      <c r="E25" s="89" t="s">
        <v>588</v>
      </c>
      <c r="F25" s="61"/>
      <c r="G25" s="62"/>
      <c r="H25" s="63"/>
      <c r="I25" s="63"/>
      <c r="J25" s="63"/>
      <c r="K25" s="64"/>
      <c r="L25" s="64"/>
      <c r="M25" s="65"/>
      <c r="N25" s="64"/>
      <c r="O25" s="64"/>
      <c r="P25" s="64"/>
      <c r="Q25" s="64"/>
      <c r="R25" s="64"/>
      <c r="S25" s="64"/>
      <c r="T25" s="64"/>
      <c r="U25" s="64"/>
      <c r="V25" s="64"/>
      <c r="W25" s="66"/>
      <c r="X25" s="64"/>
      <c r="Y25" s="64"/>
      <c r="Z25" s="64"/>
      <c r="AA25" s="67"/>
      <c r="AB25" s="67"/>
      <c r="AC25" s="67"/>
      <c r="AD25" s="68"/>
      <c r="AE25" s="69"/>
      <c r="AF25" s="69"/>
      <c r="AG25" s="69"/>
      <c r="AH25" s="70"/>
      <c r="AI25" s="69"/>
      <c r="AJ25" s="69"/>
      <c r="AK25" s="69"/>
      <c r="AL25" s="69"/>
      <c r="AM25" s="70"/>
      <c r="AN25" s="69"/>
      <c r="AO25" s="71"/>
      <c r="AP25" s="72"/>
    </row>
    <row r="26" spans="1:42" ht="14.25" customHeight="1" x14ac:dyDescent="0.2">
      <c r="A26" s="87">
        <v>10</v>
      </c>
      <c r="B26" s="88" t="s">
        <v>589</v>
      </c>
      <c r="C26" s="89" t="s">
        <v>187</v>
      </c>
      <c r="D26" s="89" t="s">
        <v>590</v>
      </c>
      <c r="E26" s="89" t="s">
        <v>591</v>
      </c>
      <c r="F26" s="61"/>
      <c r="G26" s="62"/>
      <c r="H26" s="63"/>
      <c r="I26" s="63"/>
      <c r="J26" s="63"/>
      <c r="K26" s="64"/>
      <c r="L26" s="64"/>
      <c r="M26" s="65"/>
      <c r="N26" s="64"/>
      <c r="O26" s="64"/>
      <c r="P26" s="64"/>
      <c r="Q26" s="64"/>
      <c r="R26" s="64"/>
      <c r="S26" s="64"/>
      <c r="T26" s="64"/>
      <c r="U26" s="64"/>
      <c r="V26" s="64"/>
      <c r="W26" s="66"/>
      <c r="X26" s="64"/>
      <c r="Y26" s="64"/>
      <c r="Z26" s="64"/>
      <c r="AA26" s="67"/>
      <c r="AB26" s="67"/>
      <c r="AC26" s="67"/>
      <c r="AD26" s="68"/>
      <c r="AE26" s="69"/>
      <c r="AF26" s="69"/>
      <c r="AG26" s="69"/>
      <c r="AH26" s="70"/>
      <c r="AI26" s="69"/>
      <c r="AJ26" s="69"/>
      <c r="AK26" s="69"/>
      <c r="AL26" s="69"/>
      <c r="AM26" s="70"/>
      <c r="AN26" s="69"/>
      <c r="AO26" s="71"/>
      <c r="AP26" s="72"/>
    </row>
    <row r="27" spans="1:42" ht="14.25" customHeight="1" x14ac:dyDescent="0.2">
      <c r="A27" s="87">
        <v>11</v>
      </c>
      <c r="B27" s="88" t="s">
        <v>592</v>
      </c>
      <c r="C27" s="89" t="s">
        <v>593</v>
      </c>
      <c r="D27" s="89" t="s">
        <v>135</v>
      </c>
      <c r="E27" s="94" t="s">
        <v>594</v>
      </c>
      <c r="F27" s="61"/>
      <c r="G27" s="62"/>
      <c r="H27" s="63"/>
      <c r="I27" s="63"/>
      <c r="J27" s="63"/>
      <c r="K27" s="64"/>
      <c r="L27" s="64"/>
      <c r="M27" s="65"/>
      <c r="N27" s="64"/>
      <c r="O27" s="64"/>
      <c r="P27" s="64"/>
      <c r="Q27" s="64"/>
      <c r="R27" s="64"/>
      <c r="S27" s="64"/>
      <c r="T27" s="64"/>
      <c r="U27" s="64"/>
      <c r="V27" s="64"/>
      <c r="W27" s="66"/>
      <c r="X27" s="64"/>
      <c r="Y27" s="64"/>
      <c r="Z27" s="64"/>
      <c r="AA27" s="67"/>
      <c r="AB27" s="67"/>
      <c r="AC27" s="67"/>
      <c r="AD27" s="68"/>
      <c r="AE27" s="69"/>
      <c r="AF27" s="69"/>
      <c r="AG27" s="69"/>
      <c r="AH27" s="70"/>
      <c r="AI27" s="69"/>
      <c r="AJ27" s="69"/>
      <c r="AK27" s="69"/>
      <c r="AL27" s="69"/>
      <c r="AM27" s="70"/>
      <c r="AN27" s="69"/>
      <c r="AO27" s="71"/>
      <c r="AP27" s="72"/>
    </row>
    <row r="28" spans="1:42" ht="14.25" customHeight="1" x14ac:dyDescent="0.2">
      <c r="A28" s="87">
        <v>12</v>
      </c>
      <c r="B28" s="92" t="s">
        <v>595</v>
      </c>
      <c r="C28" s="93" t="s">
        <v>73</v>
      </c>
      <c r="D28" s="93" t="s">
        <v>596</v>
      </c>
      <c r="E28" s="95" t="s">
        <v>597</v>
      </c>
      <c r="F28" s="61"/>
      <c r="G28" s="62"/>
      <c r="H28" s="63"/>
      <c r="I28" s="63"/>
      <c r="J28" s="63"/>
      <c r="K28" s="64"/>
      <c r="L28" s="64"/>
      <c r="M28" s="65"/>
      <c r="N28" s="64"/>
      <c r="O28" s="64"/>
      <c r="P28" s="64"/>
      <c r="Q28" s="64"/>
      <c r="R28" s="64"/>
      <c r="S28" s="64"/>
      <c r="T28" s="64"/>
      <c r="U28" s="64"/>
      <c r="V28" s="64"/>
      <c r="W28" s="66"/>
      <c r="X28" s="64"/>
      <c r="Y28" s="64"/>
      <c r="Z28" s="64"/>
      <c r="AA28" s="67"/>
      <c r="AB28" s="67"/>
      <c r="AC28" s="67"/>
      <c r="AD28" s="68"/>
      <c r="AE28" s="69"/>
      <c r="AF28" s="69"/>
      <c r="AG28" s="69"/>
      <c r="AH28" s="70"/>
      <c r="AI28" s="69"/>
      <c r="AJ28" s="69"/>
      <c r="AK28" s="69"/>
      <c r="AL28" s="69"/>
      <c r="AM28" s="70"/>
      <c r="AN28" s="69"/>
      <c r="AO28" s="71"/>
      <c r="AP28" s="72"/>
    </row>
    <row r="29" spans="1:42" ht="14.25" customHeight="1" x14ac:dyDescent="0.2">
      <c r="A29" s="87">
        <v>13</v>
      </c>
      <c r="B29" s="88" t="s">
        <v>598</v>
      </c>
      <c r="C29" s="89" t="s">
        <v>399</v>
      </c>
      <c r="D29" s="89" t="s">
        <v>599</v>
      </c>
      <c r="E29" s="94" t="s">
        <v>600</v>
      </c>
      <c r="F29" s="61"/>
      <c r="G29" s="62"/>
      <c r="H29" s="63"/>
      <c r="I29" s="63"/>
      <c r="J29" s="63"/>
      <c r="K29" s="64"/>
      <c r="L29" s="64"/>
      <c r="M29" s="65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64"/>
      <c r="Y29" s="64"/>
      <c r="Z29" s="64"/>
      <c r="AA29" s="67"/>
      <c r="AB29" s="67"/>
      <c r="AC29" s="67"/>
      <c r="AD29" s="68"/>
      <c r="AE29" s="69"/>
      <c r="AF29" s="69"/>
      <c r="AG29" s="69"/>
      <c r="AH29" s="70"/>
      <c r="AI29" s="69"/>
      <c r="AJ29" s="69"/>
      <c r="AK29" s="69"/>
      <c r="AL29" s="69"/>
      <c r="AM29" s="70"/>
      <c r="AN29" s="69"/>
      <c r="AO29" s="71"/>
      <c r="AP29" s="72"/>
    </row>
    <row r="30" spans="1:42" ht="14.25" customHeight="1" x14ac:dyDescent="0.25">
      <c r="A30" s="87">
        <v>14</v>
      </c>
      <c r="B30" s="90" t="s">
        <v>601</v>
      </c>
      <c r="C30" s="91" t="s">
        <v>602</v>
      </c>
      <c r="D30" s="91" t="s">
        <v>603</v>
      </c>
      <c r="E30" s="96" t="s">
        <v>604</v>
      </c>
      <c r="F30" s="61"/>
      <c r="G30" s="62"/>
      <c r="H30" s="63"/>
      <c r="I30" s="63"/>
      <c r="J30" s="63"/>
      <c r="K30" s="64"/>
      <c r="L30" s="64"/>
      <c r="M30" s="65"/>
      <c r="N30" s="64"/>
      <c r="O30" s="64"/>
      <c r="P30" s="64"/>
      <c r="Q30" s="64"/>
      <c r="R30" s="64"/>
      <c r="S30" s="64"/>
      <c r="T30" s="64"/>
      <c r="U30" s="64"/>
      <c r="V30" s="64"/>
      <c r="W30" s="66"/>
      <c r="X30" s="64"/>
      <c r="Y30" s="64"/>
      <c r="Z30" s="64"/>
      <c r="AA30" s="67"/>
      <c r="AB30" s="67"/>
      <c r="AC30" s="67"/>
      <c r="AD30" s="68"/>
      <c r="AE30" s="69"/>
      <c r="AF30" s="69"/>
      <c r="AG30" s="69"/>
      <c r="AH30" s="70"/>
      <c r="AI30" s="69"/>
      <c r="AJ30" s="69"/>
      <c r="AK30" s="69"/>
      <c r="AL30" s="69"/>
      <c r="AM30" s="70"/>
      <c r="AN30" s="69"/>
      <c r="AO30" s="71"/>
      <c r="AP30" s="72"/>
    </row>
    <row r="31" spans="1:42" ht="14.25" customHeight="1" x14ac:dyDescent="0.2">
      <c r="A31" s="87">
        <v>15</v>
      </c>
      <c r="B31" s="88" t="s">
        <v>605</v>
      </c>
      <c r="C31" s="89" t="s">
        <v>84</v>
      </c>
      <c r="D31" s="89" t="s">
        <v>499</v>
      </c>
      <c r="E31" s="94" t="s">
        <v>606</v>
      </c>
      <c r="F31" s="61"/>
      <c r="G31" s="62"/>
      <c r="H31" s="63"/>
      <c r="I31" s="63"/>
      <c r="J31" s="63"/>
      <c r="K31" s="64"/>
      <c r="L31" s="64"/>
      <c r="M31" s="65"/>
      <c r="N31" s="64"/>
      <c r="O31" s="64"/>
      <c r="P31" s="64"/>
      <c r="Q31" s="64"/>
      <c r="R31" s="64"/>
      <c r="S31" s="64"/>
      <c r="T31" s="64"/>
      <c r="U31" s="64"/>
      <c r="V31" s="64"/>
      <c r="W31" s="66"/>
      <c r="X31" s="64"/>
      <c r="Y31" s="64"/>
      <c r="Z31" s="64"/>
      <c r="AA31" s="67"/>
      <c r="AB31" s="67"/>
      <c r="AC31" s="67"/>
      <c r="AD31" s="68"/>
      <c r="AE31" s="69"/>
      <c r="AF31" s="69"/>
      <c r="AG31" s="69"/>
      <c r="AH31" s="70"/>
      <c r="AI31" s="69"/>
      <c r="AJ31" s="69"/>
      <c r="AK31" s="69"/>
      <c r="AL31" s="69"/>
      <c r="AM31" s="70"/>
      <c r="AN31" s="69"/>
      <c r="AO31" s="71"/>
      <c r="AP31" s="72"/>
    </row>
    <row r="32" spans="1:42" ht="14.25" customHeight="1" x14ac:dyDescent="0.25">
      <c r="A32" s="87">
        <v>16</v>
      </c>
      <c r="B32" s="90" t="s">
        <v>607</v>
      </c>
      <c r="C32" s="91" t="s">
        <v>608</v>
      </c>
      <c r="D32" s="91" t="s">
        <v>302</v>
      </c>
      <c r="E32" s="97" t="s">
        <v>609</v>
      </c>
      <c r="F32" s="61"/>
      <c r="G32" s="62"/>
      <c r="H32" s="63"/>
      <c r="I32" s="63"/>
      <c r="J32" s="63"/>
      <c r="K32" s="64"/>
      <c r="L32" s="64"/>
      <c r="M32" s="65"/>
      <c r="N32" s="64"/>
      <c r="O32" s="64"/>
      <c r="P32" s="64"/>
      <c r="Q32" s="64"/>
      <c r="R32" s="64"/>
      <c r="S32" s="64"/>
      <c r="T32" s="64"/>
      <c r="U32" s="64"/>
      <c r="V32" s="64"/>
      <c r="W32" s="66"/>
      <c r="X32" s="64"/>
      <c r="Y32" s="64"/>
      <c r="Z32" s="64"/>
      <c r="AA32" s="67"/>
      <c r="AB32" s="67"/>
      <c r="AC32" s="67"/>
      <c r="AD32" s="68"/>
      <c r="AE32" s="69"/>
      <c r="AF32" s="69"/>
      <c r="AG32" s="69"/>
      <c r="AH32" s="70"/>
      <c r="AI32" s="69"/>
      <c r="AJ32" s="69"/>
      <c r="AK32" s="69"/>
      <c r="AL32" s="69"/>
      <c r="AM32" s="70"/>
      <c r="AN32" s="69"/>
      <c r="AO32" s="71"/>
      <c r="AP32" s="72"/>
    </row>
    <row r="33" spans="1:42" ht="14.25" customHeight="1" x14ac:dyDescent="0.25">
      <c r="A33" s="87">
        <v>17</v>
      </c>
      <c r="B33" s="90" t="s">
        <v>610</v>
      </c>
      <c r="C33" s="91" t="s">
        <v>58</v>
      </c>
      <c r="D33" s="91" t="s">
        <v>103</v>
      </c>
      <c r="E33" s="96" t="s">
        <v>611</v>
      </c>
      <c r="F33" s="61"/>
      <c r="G33" s="62"/>
      <c r="H33" s="63"/>
      <c r="I33" s="63"/>
      <c r="J33" s="63"/>
      <c r="K33" s="64"/>
      <c r="L33" s="64"/>
      <c r="M33" s="65"/>
      <c r="N33" s="64"/>
      <c r="O33" s="64"/>
      <c r="P33" s="64"/>
      <c r="Q33" s="64"/>
      <c r="R33" s="64"/>
      <c r="S33" s="64"/>
      <c r="T33" s="64"/>
      <c r="U33" s="64"/>
      <c r="V33" s="64"/>
      <c r="W33" s="66"/>
      <c r="X33" s="64"/>
      <c r="Y33" s="64"/>
      <c r="Z33" s="64"/>
      <c r="AA33" s="67"/>
      <c r="AB33" s="67"/>
      <c r="AC33" s="67"/>
      <c r="AD33" s="68"/>
      <c r="AE33" s="69"/>
      <c r="AF33" s="69"/>
      <c r="AG33" s="69"/>
      <c r="AH33" s="70"/>
      <c r="AI33" s="69"/>
      <c r="AJ33" s="69"/>
      <c r="AK33" s="69"/>
      <c r="AL33" s="69"/>
      <c r="AM33" s="70"/>
      <c r="AN33" s="69"/>
      <c r="AO33" s="71"/>
      <c r="AP33" s="72"/>
    </row>
    <row r="34" spans="1:42" ht="14.25" customHeight="1" x14ac:dyDescent="0.2">
      <c r="A34" s="87">
        <v>18</v>
      </c>
      <c r="B34" s="88" t="s">
        <v>612</v>
      </c>
      <c r="C34" s="89" t="s">
        <v>93</v>
      </c>
      <c r="D34" s="89" t="s">
        <v>62</v>
      </c>
      <c r="E34" s="94" t="s">
        <v>613</v>
      </c>
      <c r="F34" s="61"/>
      <c r="G34" s="62"/>
      <c r="H34" s="63"/>
      <c r="I34" s="63"/>
      <c r="J34" s="63"/>
      <c r="K34" s="64"/>
      <c r="L34" s="64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6"/>
      <c r="X34" s="64"/>
      <c r="Y34" s="64"/>
      <c r="Z34" s="64"/>
      <c r="AA34" s="67"/>
      <c r="AB34" s="67"/>
      <c r="AC34" s="67"/>
      <c r="AD34" s="68"/>
      <c r="AE34" s="69"/>
      <c r="AF34" s="69"/>
      <c r="AG34" s="69"/>
      <c r="AH34" s="70"/>
      <c r="AI34" s="69"/>
      <c r="AJ34" s="69"/>
      <c r="AK34" s="69"/>
      <c r="AL34" s="69"/>
      <c r="AM34" s="70"/>
      <c r="AN34" s="69"/>
      <c r="AO34" s="71"/>
      <c r="AP34" s="72"/>
    </row>
    <row r="35" spans="1:42" ht="14.25" customHeight="1" x14ac:dyDescent="0.2">
      <c r="A35" s="87">
        <v>19</v>
      </c>
      <c r="B35" s="88"/>
      <c r="C35" s="89" t="s">
        <v>93</v>
      </c>
      <c r="D35" s="89" t="s">
        <v>554</v>
      </c>
      <c r="E35" s="94" t="s">
        <v>614</v>
      </c>
      <c r="F35" s="61"/>
      <c r="G35" s="62"/>
      <c r="H35" s="63"/>
      <c r="I35" s="63"/>
      <c r="J35" s="63"/>
      <c r="K35" s="64"/>
      <c r="L35" s="64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6"/>
      <c r="X35" s="64"/>
      <c r="Y35" s="64"/>
      <c r="Z35" s="64"/>
      <c r="AA35" s="67"/>
      <c r="AB35" s="67"/>
      <c r="AC35" s="67"/>
      <c r="AD35" s="68"/>
      <c r="AE35" s="69"/>
      <c r="AF35" s="69"/>
      <c r="AG35" s="69"/>
      <c r="AH35" s="70"/>
      <c r="AI35" s="69"/>
      <c r="AJ35" s="69"/>
      <c r="AK35" s="69"/>
      <c r="AL35" s="69"/>
      <c r="AM35" s="70"/>
      <c r="AN35" s="69"/>
      <c r="AO35" s="71"/>
      <c r="AP35" s="72"/>
    </row>
    <row r="36" spans="1:42" ht="14.25" customHeight="1" x14ac:dyDescent="0.2">
      <c r="A36" s="87">
        <v>20</v>
      </c>
      <c r="B36" s="88" t="s">
        <v>615</v>
      </c>
      <c r="C36" s="89" t="s">
        <v>417</v>
      </c>
      <c r="D36" s="89" t="s">
        <v>616</v>
      </c>
      <c r="E36" s="94" t="s">
        <v>617</v>
      </c>
      <c r="F36" s="61"/>
      <c r="G36" s="62"/>
      <c r="H36" s="63"/>
      <c r="I36" s="63"/>
      <c r="J36" s="63"/>
      <c r="K36" s="64"/>
      <c r="L36" s="64"/>
      <c r="M36" s="65"/>
      <c r="N36" s="64"/>
      <c r="O36" s="64"/>
      <c r="P36" s="64"/>
      <c r="Q36" s="64"/>
      <c r="R36" s="64"/>
      <c r="S36" s="64"/>
      <c r="T36" s="64"/>
      <c r="U36" s="64"/>
      <c r="V36" s="64"/>
      <c r="W36" s="66"/>
      <c r="X36" s="64"/>
      <c r="Y36" s="64"/>
      <c r="Z36" s="64"/>
      <c r="AA36" s="67"/>
      <c r="AB36" s="67"/>
      <c r="AC36" s="67"/>
      <c r="AD36" s="68"/>
      <c r="AE36" s="69"/>
      <c r="AF36" s="69"/>
      <c r="AG36" s="69"/>
      <c r="AH36" s="70"/>
      <c r="AI36" s="69"/>
      <c r="AJ36" s="69"/>
      <c r="AK36" s="69"/>
      <c r="AL36" s="69"/>
      <c r="AM36" s="70"/>
      <c r="AN36" s="69"/>
      <c r="AO36" s="71"/>
      <c r="AP36" s="72"/>
    </row>
    <row r="37" spans="1:42" ht="14.25" customHeight="1" x14ac:dyDescent="0.2">
      <c r="A37" s="87">
        <v>21</v>
      </c>
      <c r="B37" s="88" t="s">
        <v>618</v>
      </c>
      <c r="C37" s="89" t="s">
        <v>619</v>
      </c>
      <c r="D37" s="89" t="s">
        <v>147</v>
      </c>
      <c r="E37" s="94" t="s">
        <v>620</v>
      </c>
      <c r="F37" s="61"/>
      <c r="G37" s="62"/>
      <c r="H37" s="63"/>
      <c r="I37" s="63"/>
      <c r="J37" s="63"/>
      <c r="K37" s="64"/>
      <c r="L37" s="64"/>
      <c r="M37" s="65"/>
      <c r="N37" s="64"/>
      <c r="O37" s="64"/>
      <c r="P37" s="64"/>
      <c r="Q37" s="64"/>
      <c r="R37" s="64"/>
      <c r="S37" s="64"/>
      <c r="T37" s="64"/>
      <c r="U37" s="64"/>
      <c r="V37" s="64"/>
      <c r="W37" s="66"/>
      <c r="X37" s="64"/>
      <c r="Y37" s="64"/>
      <c r="Z37" s="64"/>
      <c r="AA37" s="67"/>
      <c r="AB37" s="67"/>
      <c r="AC37" s="67"/>
      <c r="AD37" s="68"/>
      <c r="AE37" s="69"/>
      <c r="AF37" s="69"/>
      <c r="AG37" s="69"/>
      <c r="AH37" s="70"/>
      <c r="AI37" s="69"/>
      <c r="AJ37" s="69"/>
      <c r="AK37" s="69"/>
      <c r="AL37" s="69"/>
      <c r="AM37" s="70"/>
      <c r="AN37" s="69"/>
      <c r="AO37" s="71"/>
      <c r="AP37" s="72"/>
    </row>
    <row r="38" spans="1:42" ht="14.25" customHeight="1" x14ac:dyDescent="0.2">
      <c r="A38" s="87">
        <v>22</v>
      </c>
      <c r="B38" s="88" t="s">
        <v>621</v>
      </c>
      <c r="C38" s="89" t="s">
        <v>622</v>
      </c>
      <c r="D38" s="89" t="s">
        <v>623</v>
      </c>
      <c r="E38" s="94" t="s">
        <v>624</v>
      </c>
      <c r="F38" s="61"/>
      <c r="G38" s="62"/>
      <c r="H38" s="63"/>
      <c r="I38" s="63"/>
      <c r="J38" s="63"/>
      <c r="K38" s="64"/>
      <c r="L38" s="64"/>
      <c r="M38" s="65"/>
      <c r="N38" s="64"/>
      <c r="O38" s="64"/>
      <c r="P38" s="64"/>
      <c r="Q38" s="64"/>
      <c r="R38" s="64"/>
      <c r="S38" s="64"/>
      <c r="T38" s="64"/>
      <c r="U38" s="64"/>
      <c r="V38" s="64"/>
      <c r="W38" s="66"/>
      <c r="X38" s="64"/>
      <c r="Y38" s="64"/>
      <c r="Z38" s="64"/>
      <c r="AA38" s="67"/>
      <c r="AB38" s="67"/>
      <c r="AC38" s="67"/>
      <c r="AD38" s="68"/>
      <c r="AE38" s="69"/>
      <c r="AF38" s="69"/>
      <c r="AG38" s="69"/>
      <c r="AH38" s="70"/>
      <c r="AI38" s="69"/>
      <c r="AJ38" s="69"/>
      <c r="AK38" s="69"/>
      <c r="AL38" s="69"/>
      <c r="AM38" s="70"/>
      <c r="AN38" s="69"/>
      <c r="AO38" s="71"/>
      <c r="AP38" s="72"/>
    </row>
    <row r="39" spans="1:42" ht="14.25" customHeight="1" x14ac:dyDescent="0.2">
      <c r="A39" s="87">
        <v>23</v>
      </c>
      <c r="B39" s="88" t="s">
        <v>625</v>
      </c>
      <c r="C39" s="89" t="s">
        <v>626</v>
      </c>
      <c r="D39" s="89" t="s">
        <v>84</v>
      </c>
      <c r="E39" s="94" t="s">
        <v>627</v>
      </c>
      <c r="F39" s="61"/>
      <c r="G39" s="62"/>
      <c r="H39" s="63"/>
      <c r="I39" s="63"/>
      <c r="J39" s="63"/>
      <c r="K39" s="64"/>
      <c r="L39" s="64"/>
      <c r="M39" s="65"/>
      <c r="N39" s="64"/>
      <c r="O39" s="64"/>
      <c r="P39" s="64"/>
      <c r="Q39" s="64"/>
      <c r="R39" s="64"/>
      <c r="S39" s="64"/>
      <c r="T39" s="64"/>
      <c r="U39" s="64"/>
      <c r="V39" s="64"/>
      <c r="W39" s="66"/>
      <c r="X39" s="64"/>
      <c r="Y39" s="64"/>
      <c r="Z39" s="64"/>
      <c r="AA39" s="67"/>
      <c r="AB39" s="67"/>
      <c r="AC39" s="67"/>
      <c r="AD39" s="68"/>
      <c r="AE39" s="69"/>
      <c r="AF39" s="69"/>
      <c r="AG39" s="69"/>
      <c r="AH39" s="70"/>
      <c r="AI39" s="69"/>
      <c r="AJ39" s="69"/>
      <c r="AK39" s="69"/>
      <c r="AL39" s="69"/>
      <c r="AM39" s="70"/>
      <c r="AN39" s="69"/>
      <c r="AO39" s="71"/>
      <c r="AP39" s="72"/>
    </row>
    <row r="40" spans="1:42" ht="14.25" customHeight="1" x14ac:dyDescent="0.2">
      <c r="A40" s="87">
        <v>24</v>
      </c>
      <c r="B40" s="88" t="s">
        <v>628</v>
      </c>
      <c r="C40" s="89" t="s">
        <v>629</v>
      </c>
      <c r="D40" s="89" t="s">
        <v>630</v>
      </c>
      <c r="E40" s="94" t="s">
        <v>631</v>
      </c>
      <c r="F40" s="61"/>
      <c r="G40" s="62"/>
      <c r="H40" s="63"/>
      <c r="I40" s="63"/>
      <c r="J40" s="63"/>
      <c r="K40" s="64"/>
      <c r="L40" s="64"/>
      <c r="M40" s="65"/>
      <c r="N40" s="64"/>
      <c r="O40" s="64"/>
      <c r="P40" s="64"/>
      <c r="Q40" s="64"/>
      <c r="R40" s="64"/>
      <c r="S40" s="64"/>
      <c r="T40" s="64"/>
      <c r="U40" s="64"/>
      <c r="V40" s="64"/>
      <c r="W40" s="66"/>
      <c r="X40" s="64"/>
      <c r="Y40" s="64"/>
      <c r="Z40" s="64"/>
      <c r="AA40" s="67"/>
      <c r="AB40" s="67"/>
      <c r="AC40" s="67"/>
      <c r="AD40" s="68"/>
      <c r="AE40" s="69"/>
      <c r="AF40" s="69"/>
      <c r="AG40" s="69"/>
      <c r="AH40" s="70"/>
      <c r="AI40" s="69"/>
      <c r="AJ40" s="69"/>
      <c r="AK40" s="69"/>
      <c r="AL40" s="69"/>
      <c r="AM40" s="70"/>
      <c r="AN40" s="69"/>
      <c r="AO40" s="71"/>
      <c r="AP40" s="72"/>
    </row>
    <row r="41" spans="1:42" ht="14.25" customHeight="1" x14ac:dyDescent="0.2">
      <c r="A41" s="87">
        <v>25</v>
      </c>
      <c r="B41" s="88" t="s">
        <v>632</v>
      </c>
      <c r="C41" s="89" t="s">
        <v>633</v>
      </c>
      <c r="D41" s="89" t="s">
        <v>634</v>
      </c>
      <c r="E41" s="94" t="s">
        <v>635</v>
      </c>
      <c r="F41" s="61"/>
      <c r="G41" s="62"/>
      <c r="H41" s="63"/>
      <c r="I41" s="63"/>
      <c r="J41" s="63"/>
      <c r="K41" s="64"/>
      <c r="L41" s="64"/>
      <c r="M41" s="65"/>
      <c r="N41" s="64"/>
      <c r="O41" s="64"/>
      <c r="P41" s="64"/>
      <c r="Q41" s="64"/>
      <c r="R41" s="64"/>
      <c r="S41" s="64"/>
      <c r="T41" s="64"/>
      <c r="U41" s="64"/>
      <c r="V41" s="64"/>
      <c r="W41" s="66"/>
      <c r="X41" s="64"/>
      <c r="Y41" s="64"/>
      <c r="Z41" s="64"/>
      <c r="AA41" s="67"/>
      <c r="AB41" s="67"/>
      <c r="AC41" s="67"/>
      <c r="AD41" s="68"/>
      <c r="AE41" s="69"/>
      <c r="AF41" s="69"/>
      <c r="AG41" s="69"/>
      <c r="AH41" s="70"/>
      <c r="AI41" s="69"/>
      <c r="AJ41" s="69"/>
      <c r="AK41" s="69"/>
      <c r="AL41" s="69"/>
      <c r="AM41" s="70"/>
      <c r="AN41" s="69"/>
      <c r="AO41" s="71"/>
      <c r="AP41" s="72"/>
    </row>
    <row r="42" spans="1:42" ht="14.25" customHeight="1" x14ac:dyDescent="0.2">
      <c r="A42" s="87">
        <v>26</v>
      </c>
      <c r="B42" s="88"/>
      <c r="C42" s="89" t="s">
        <v>127</v>
      </c>
      <c r="D42" s="89" t="s">
        <v>636</v>
      </c>
      <c r="E42" s="94" t="s">
        <v>637</v>
      </c>
      <c r="F42" s="61"/>
      <c r="G42" s="62"/>
      <c r="H42" s="63"/>
      <c r="I42" s="63"/>
      <c r="J42" s="63"/>
      <c r="K42" s="64"/>
      <c r="L42" s="64"/>
      <c r="M42" s="65"/>
      <c r="N42" s="64"/>
      <c r="O42" s="64"/>
      <c r="P42" s="64"/>
      <c r="Q42" s="64"/>
      <c r="R42" s="64"/>
      <c r="S42" s="64"/>
      <c r="T42" s="64"/>
      <c r="U42" s="64"/>
      <c r="V42" s="64"/>
      <c r="W42" s="66"/>
      <c r="X42" s="64"/>
      <c r="Y42" s="64"/>
      <c r="Z42" s="64"/>
      <c r="AA42" s="67"/>
      <c r="AB42" s="67"/>
      <c r="AC42" s="67"/>
      <c r="AD42" s="68"/>
      <c r="AE42" s="69"/>
      <c r="AF42" s="69"/>
      <c r="AG42" s="69"/>
      <c r="AH42" s="70"/>
      <c r="AI42" s="69"/>
      <c r="AJ42" s="69"/>
      <c r="AK42" s="69"/>
      <c r="AL42" s="69"/>
      <c r="AM42" s="70"/>
      <c r="AN42" s="69"/>
      <c r="AO42" s="71"/>
      <c r="AP42" s="72"/>
    </row>
    <row r="43" spans="1:42" ht="14.25" customHeight="1" x14ac:dyDescent="0.2">
      <c r="A43" s="87">
        <v>27</v>
      </c>
      <c r="B43" s="88" t="s">
        <v>638</v>
      </c>
      <c r="C43" s="89" t="s">
        <v>639</v>
      </c>
      <c r="D43" s="89" t="s">
        <v>640</v>
      </c>
      <c r="E43" s="94" t="s">
        <v>641</v>
      </c>
      <c r="F43" s="61"/>
      <c r="G43" s="62"/>
      <c r="H43" s="63"/>
      <c r="I43" s="63"/>
      <c r="J43" s="63"/>
      <c r="K43" s="64"/>
      <c r="L43" s="64"/>
      <c r="M43" s="65"/>
      <c r="N43" s="64"/>
      <c r="O43" s="64"/>
      <c r="P43" s="64"/>
      <c r="Q43" s="64"/>
      <c r="R43" s="64"/>
      <c r="S43" s="64"/>
      <c r="T43" s="64"/>
      <c r="U43" s="64"/>
      <c r="V43" s="64"/>
      <c r="W43" s="66"/>
      <c r="X43" s="64"/>
      <c r="Y43" s="64"/>
      <c r="Z43" s="64"/>
      <c r="AA43" s="67"/>
      <c r="AB43" s="67"/>
      <c r="AC43" s="67"/>
      <c r="AD43" s="68"/>
      <c r="AE43" s="69"/>
      <c r="AF43" s="69"/>
      <c r="AG43" s="69"/>
      <c r="AH43" s="70"/>
      <c r="AI43" s="69"/>
      <c r="AJ43" s="69"/>
      <c r="AK43" s="69"/>
      <c r="AL43" s="69"/>
      <c r="AM43" s="70"/>
      <c r="AN43" s="69"/>
      <c r="AO43" s="71"/>
      <c r="AP43" s="72"/>
    </row>
    <row r="44" spans="1:42" ht="14.25" customHeight="1" x14ac:dyDescent="0.2">
      <c r="A44" s="87">
        <v>28</v>
      </c>
      <c r="B44" s="88" t="s">
        <v>642</v>
      </c>
      <c r="C44" s="89" t="s">
        <v>131</v>
      </c>
      <c r="D44" s="89" t="s">
        <v>131</v>
      </c>
      <c r="E44" s="94" t="s">
        <v>643</v>
      </c>
      <c r="F44" s="61"/>
      <c r="G44" s="62"/>
      <c r="H44" s="63"/>
      <c r="I44" s="63"/>
      <c r="J44" s="63"/>
      <c r="K44" s="64"/>
      <c r="L44" s="64"/>
      <c r="M44" s="65"/>
      <c r="N44" s="64"/>
      <c r="O44" s="64"/>
      <c r="P44" s="64"/>
      <c r="Q44" s="64"/>
      <c r="R44" s="64"/>
      <c r="S44" s="64"/>
      <c r="T44" s="64"/>
      <c r="U44" s="64"/>
      <c r="V44" s="64"/>
      <c r="W44" s="66"/>
      <c r="X44" s="64"/>
      <c r="Y44" s="64"/>
      <c r="Z44" s="64"/>
      <c r="AA44" s="67"/>
      <c r="AB44" s="67"/>
      <c r="AC44" s="67"/>
      <c r="AD44" s="68"/>
      <c r="AE44" s="69"/>
      <c r="AF44" s="69"/>
      <c r="AG44" s="69"/>
      <c r="AH44" s="70"/>
      <c r="AI44" s="69"/>
      <c r="AJ44" s="69"/>
      <c r="AK44" s="69"/>
      <c r="AL44" s="69"/>
      <c r="AM44" s="70"/>
      <c r="AN44" s="69"/>
      <c r="AO44" s="71"/>
      <c r="AP44" s="72"/>
    </row>
    <row r="45" spans="1:42" ht="14.25" customHeight="1" x14ac:dyDescent="0.2">
      <c r="A45" s="87">
        <v>29</v>
      </c>
      <c r="B45" s="88" t="s">
        <v>644</v>
      </c>
      <c r="C45" s="89" t="s">
        <v>242</v>
      </c>
      <c r="D45" s="89" t="s">
        <v>645</v>
      </c>
      <c r="E45" s="94" t="s">
        <v>646</v>
      </c>
      <c r="F45" s="61"/>
      <c r="G45" s="62"/>
      <c r="H45" s="63"/>
      <c r="I45" s="63"/>
      <c r="J45" s="63"/>
      <c r="K45" s="64"/>
      <c r="L45" s="64"/>
      <c r="M45" s="65"/>
      <c r="N45" s="64"/>
      <c r="O45" s="64"/>
      <c r="P45" s="64"/>
      <c r="Q45" s="64"/>
      <c r="R45" s="64"/>
      <c r="S45" s="64"/>
      <c r="T45" s="64"/>
      <c r="U45" s="64"/>
      <c r="V45" s="64"/>
      <c r="W45" s="66"/>
      <c r="X45" s="64"/>
      <c r="Y45" s="64"/>
      <c r="Z45" s="64"/>
      <c r="AA45" s="67"/>
      <c r="AB45" s="67"/>
      <c r="AC45" s="67"/>
      <c r="AD45" s="68"/>
      <c r="AE45" s="69"/>
      <c r="AF45" s="69"/>
      <c r="AG45" s="69"/>
      <c r="AH45" s="70"/>
      <c r="AI45" s="69"/>
      <c r="AJ45" s="69"/>
      <c r="AK45" s="69"/>
      <c r="AL45" s="69"/>
      <c r="AM45" s="70"/>
      <c r="AN45" s="69"/>
      <c r="AO45" s="71"/>
      <c r="AP45" s="72"/>
    </row>
    <row r="46" spans="1:42" ht="14.25" customHeight="1" x14ac:dyDescent="0.2">
      <c r="A46" s="87">
        <v>30</v>
      </c>
      <c r="B46" s="88" t="s">
        <v>647</v>
      </c>
      <c r="C46" s="89" t="s">
        <v>648</v>
      </c>
      <c r="D46" s="89" t="s">
        <v>649</v>
      </c>
      <c r="E46" s="94" t="s">
        <v>650</v>
      </c>
      <c r="F46" s="61"/>
      <c r="G46" s="62"/>
      <c r="H46" s="63"/>
      <c r="I46" s="63"/>
      <c r="J46" s="63"/>
      <c r="K46" s="64"/>
      <c r="L46" s="64"/>
      <c r="M46" s="65"/>
      <c r="N46" s="64"/>
      <c r="O46" s="64"/>
      <c r="P46" s="64"/>
      <c r="Q46" s="64"/>
      <c r="R46" s="64"/>
      <c r="S46" s="64"/>
      <c r="T46" s="64"/>
      <c r="U46" s="64"/>
      <c r="V46" s="64"/>
      <c r="W46" s="66"/>
      <c r="X46" s="64"/>
      <c r="Y46" s="64"/>
      <c r="Z46" s="64"/>
      <c r="AA46" s="67"/>
      <c r="AB46" s="67"/>
      <c r="AC46" s="67"/>
      <c r="AD46" s="68"/>
      <c r="AE46" s="69"/>
      <c r="AF46" s="69"/>
      <c r="AG46" s="69"/>
      <c r="AH46" s="70"/>
      <c r="AI46" s="69"/>
      <c r="AJ46" s="69"/>
      <c r="AK46" s="69"/>
      <c r="AL46" s="69"/>
      <c r="AM46" s="70"/>
      <c r="AN46" s="69"/>
      <c r="AO46" s="71"/>
      <c r="AP46" s="72"/>
    </row>
    <row r="47" spans="1:42" ht="14.25" customHeight="1" x14ac:dyDescent="0.2">
      <c r="A47" s="87">
        <v>31</v>
      </c>
      <c r="B47" s="88" t="s">
        <v>651</v>
      </c>
      <c r="C47" s="89" t="s">
        <v>394</v>
      </c>
      <c r="D47" s="89" t="s">
        <v>386</v>
      </c>
      <c r="E47" s="94" t="s">
        <v>606</v>
      </c>
      <c r="F47" s="61"/>
      <c r="G47" s="62"/>
      <c r="H47" s="63"/>
      <c r="I47" s="63"/>
      <c r="J47" s="63"/>
      <c r="K47" s="64"/>
      <c r="L47" s="64"/>
      <c r="M47" s="65"/>
      <c r="N47" s="64"/>
      <c r="O47" s="64"/>
      <c r="P47" s="64"/>
      <c r="Q47" s="64"/>
      <c r="R47" s="64"/>
      <c r="S47" s="64"/>
      <c r="T47" s="64"/>
      <c r="U47" s="64"/>
      <c r="V47" s="64"/>
      <c r="W47" s="66"/>
      <c r="X47" s="64"/>
      <c r="Y47" s="64"/>
      <c r="Z47" s="64"/>
      <c r="AA47" s="67"/>
      <c r="AB47" s="67"/>
      <c r="AC47" s="67"/>
      <c r="AD47" s="68"/>
      <c r="AE47" s="69"/>
      <c r="AF47" s="69"/>
      <c r="AG47" s="69"/>
      <c r="AH47" s="70"/>
      <c r="AI47" s="69"/>
      <c r="AJ47" s="69"/>
      <c r="AK47" s="69"/>
      <c r="AL47" s="69"/>
      <c r="AM47" s="70"/>
      <c r="AN47" s="69"/>
      <c r="AO47" s="71"/>
      <c r="AP47" s="72"/>
    </row>
    <row r="48" spans="1:42" ht="14.25" customHeight="1" x14ac:dyDescent="0.2">
      <c r="A48" s="87">
        <v>32</v>
      </c>
      <c r="B48" s="88" t="s">
        <v>652</v>
      </c>
      <c r="C48" s="89" t="s">
        <v>653</v>
      </c>
      <c r="D48" s="89" t="s">
        <v>654</v>
      </c>
      <c r="E48" s="94" t="s">
        <v>655</v>
      </c>
      <c r="F48" s="61"/>
      <c r="G48" s="62"/>
      <c r="H48" s="63"/>
      <c r="I48" s="63"/>
      <c r="J48" s="63"/>
      <c r="K48" s="64"/>
      <c r="L48" s="64"/>
      <c r="M48" s="65"/>
      <c r="N48" s="64"/>
      <c r="O48" s="64"/>
      <c r="P48" s="64"/>
      <c r="Q48" s="64"/>
      <c r="R48" s="64"/>
      <c r="S48" s="64"/>
      <c r="T48" s="64"/>
      <c r="U48" s="64"/>
      <c r="V48" s="64"/>
      <c r="W48" s="66"/>
      <c r="X48" s="64"/>
      <c r="Y48" s="64"/>
      <c r="Z48" s="64"/>
      <c r="AA48" s="67"/>
      <c r="AB48" s="67"/>
      <c r="AC48" s="67"/>
      <c r="AD48" s="68"/>
      <c r="AE48" s="69"/>
      <c r="AF48" s="69"/>
      <c r="AG48" s="69"/>
      <c r="AH48" s="70"/>
      <c r="AI48" s="69"/>
      <c r="AJ48" s="69"/>
      <c r="AK48" s="69"/>
      <c r="AL48" s="69"/>
      <c r="AM48" s="70"/>
      <c r="AN48" s="69"/>
      <c r="AO48" s="71"/>
      <c r="AP48" s="72"/>
    </row>
    <row r="49" spans="1:42" ht="14.25" customHeight="1" x14ac:dyDescent="0.2">
      <c r="A49" s="87">
        <v>33</v>
      </c>
      <c r="B49" s="88" t="s">
        <v>656</v>
      </c>
      <c r="C49" s="89" t="s">
        <v>431</v>
      </c>
      <c r="D49" s="89" t="s">
        <v>657</v>
      </c>
      <c r="E49" s="94" t="s">
        <v>658</v>
      </c>
      <c r="F49" s="61"/>
      <c r="G49" s="62"/>
      <c r="H49" s="63"/>
      <c r="I49" s="63"/>
      <c r="J49" s="63"/>
      <c r="K49" s="64"/>
      <c r="L49" s="64"/>
      <c r="M49" s="65"/>
      <c r="N49" s="64"/>
      <c r="O49" s="64"/>
      <c r="P49" s="64"/>
      <c r="Q49" s="64"/>
      <c r="R49" s="64"/>
      <c r="S49" s="64"/>
      <c r="T49" s="64"/>
      <c r="U49" s="64"/>
      <c r="V49" s="64"/>
      <c r="W49" s="66"/>
      <c r="X49" s="64"/>
      <c r="Y49" s="64"/>
      <c r="Z49" s="64"/>
      <c r="AA49" s="67"/>
      <c r="AB49" s="67"/>
      <c r="AC49" s="67"/>
      <c r="AD49" s="68"/>
      <c r="AE49" s="69"/>
      <c r="AF49" s="69"/>
      <c r="AG49" s="69"/>
      <c r="AH49" s="70"/>
      <c r="AI49" s="69"/>
      <c r="AJ49" s="69"/>
      <c r="AK49" s="69"/>
      <c r="AL49" s="69"/>
      <c r="AM49" s="70"/>
      <c r="AN49" s="69"/>
      <c r="AO49" s="71"/>
      <c r="AP49" s="72"/>
    </row>
    <row r="50" spans="1:42" ht="14.25" customHeight="1" x14ac:dyDescent="0.2">
      <c r="A50" s="87">
        <v>34</v>
      </c>
      <c r="B50" s="88" t="s">
        <v>659</v>
      </c>
      <c r="C50" s="89" t="s">
        <v>396</v>
      </c>
      <c r="D50" s="89" t="s">
        <v>77</v>
      </c>
      <c r="E50" s="94" t="s">
        <v>660</v>
      </c>
      <c r="F50" s="61"/>
      <c r="G50" s="62"/>
      <c r="H50" s="63"/>
      <c r="I50" s="63"/>
      <c r="J50" s="63"/>
      <c r="K50" s="64"/>
      <c r="L50" s="64"/>
      <c r="M50" s="65"/>
      <c r="N50" s="64"/>
      <c r="O50" s="64"/>
      <c r="P50" s="64"/>
      <c r="Q50" s="64"/>
      <c r="R50" s="64"/>
      <c r="S50" s="64"/>
      <c r="T50" s="64"/>
      <c r="U50" s="64"/>
      <c r="V50" s="64"/>
      <c r="W50" s="66"/>
      <c r="X50" s="64"/>
      <c r="Y50" s="64"/>
      <c r="Z50" s="64"/>
      <c r="AA50" s="67"/>
      <c r="AB50" s="67"/>
      <c r="AC50" s="67"/>
      <c r="AD50" s="68"/>
      <c r="AE50" s="69"/>
      <c r="AF50" s="69"/>
      <c r="AG50" s="69"/>
      <c r="AH50" s="70"/>
      <c r="AI50" s="69"/>
      <c r="AJ50" s="69"/>
      <c r="AK50" s="69"/>
      <c r="AL50" s="69"/>
      <c r="AM50" s="70"/>
      <c r="AN50" s="69"/>
      <c r="AO50" s="71"/>
      <c r="AP50" s="72"/>
    </row>
    <row r="51" spans="1:42" ht="14.25" customHeight="1" x14ac:dyDescent="0.2">
      <c r="A51" s="87">
        <v>35</v>
      </c>
      <c r="B51" s="88"/>
      <c r="C51" s="89"/>
      <c r="D51" s="89"/>
      <c r="E51" s="94"/>
      <c r="F51" s="61"/>
      <c r="G51" s="62"/>
      <c r="H51" s="63"/>
      <c r="I51" s="63"/>
      <c r="J51" s="63"/>
      <c r="K51" s="64"/>
      <c r="L51" s="64"/>
      <c r="M51" s="65"/>
      <c r="N51" s="64"/>
      <c r="O51" s="64"/>
      <c r="P51" s="64"/>
      <c r="Q51" s="64"/>
      <c r="R51" s="64"/>
      <c r="S51" s="64"/>
      <c r="T51" s="64"/>
      <c r="U51" s="64"/>
      <c r="V51" s="64"/>
      <c r="W51" s="66"/>
      <c r="X51" s="64"/>
      <c r="Y51" s="64"/>
      <c r="Z51" s="64"/>
      <c r="AA51" s="67"/>
      <c r="AB51" s="67"/>
      <c r="AC51" s="67"/>
      <c r="AD51" s="68"/>
      <c r="AE51" s="69"/>
      <c r="AF51" s="69"/>
      <c r="AG51" s="69"/>
      <c r="AH51" s="70"/>
      <c r="AI51" s="69"/>
      <c r="AJ51" s="69"/>
      <c r="AK51" s="69"/>
      <c r="AL51" s="69"/>
      <c r="AM51" s="70"/>
      <c r="AN51" s="69"/>
      <c r="AO51" s="71"/>
      <c r="AP51" s="72"/>
    </row>
    <row r="52" spans="1:42" ht="12.75" customHeight="1" x14ac:dyDescent="0.2">
      <c r="E52" s="11">
        <f>COUNTIFS(F17:F51,"H")</f>
        <v>0</v>
      </c>
      <c r="F52" s="11" t="s">
        <v>43</v>
      </c>
    </row>
    <row r="53" spans="1:42" ht="12.75" customHeight="1" x14ac:dyDescent="0.2">
      <c r="E53" s="11">
        <f>COUNTIFS(F17:F51,"M")</f>
        <v>0</v>
      </c>
      <c r="F53" s="3" t="s">
        <v>38</v>
      </c>
    </row>
    <row r="54" spans="1:42" ht="12.75" customHeight="1" x14ac:dyDescent="0.2">
      <c r="E54" s="11">
        <f>SUM(E52:E53)</f>
        <v>0</v>
      </c>
      <c r="F54" s="11"/>
    </row>
    <row r="55" spans="1:42" ht="12.75" customHeight="1" x14ac:dyDescent="0.2">
      <c r="E55" s="11"/>
      <c r="F55" s="3"/>
      <c r="G55" s="82">
        <f>COUNTIFS(G17:G51,"pag")</f>
        <v>0</v>
      </c>
    </row>
    <row r="56" spans="1:42" ht="12.75" customHeight="1" x14ac:dyDescent="0.2">
      <c r="E56" s="11"/>
      <c r="F56" s="11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42" ht="12.75" customHeight="1" x14ac:dyDescent="0.2">
      <c r="B57" s="84" t="s">
        <v>154</v>
      </c>
      <c r="C57" s="85"/>
      <c r="D57" s="85"/>
      <c r="F57" s="3"/>
      <c r="G57" s="84" t="s">
        <v>155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</row>
    <row r="58" spans="1:42" ht="12.75" customHeight="1" x14ac:dyDescent="0.2">
      <c r="F58" s="3"/>
    </row>
    <row r="59" spans="1:42" ht="12.75" customHeight="1" x14ac:dyDescent="0.2">
      <c r="F59" s="3"/>
    </row>
    <row r="60" spans="1:42" ht="12.75" customHeight="1" x14ac:dyDescent="0.2">
      <c r="F60" s="3"/>
    </row>
    <row r="61" spans="1:42" ht="12.75" customHeight="1" x14ac:dyDescent="0.2">
      <c r="F61" s="3"/>
    </row>
    <row r="62" spans="1:42" ht="12.75" customHeight="1" x14ac:dyDescent="0.2">
      <c r="F62" s="3"/>
    </row>
    <row r="63" spans="1:42" ht="12.75" customHeight="1" x14ac:dyDescent="0.2">
      <c r="F63" s="3"/>
    </row>
    <row r="64" spans="1:42" ht="12.75" customHeight="1" x14ac:dyDescent="0.2">
      <c r="B64" s="86"/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</sheetData>
  <mergeCells count="14">
    <mergeCell ref="G57:X57"/>
    <mergeCell ref="A9:B9"/>
    <mergeCell ref="C9:E9"/>
    <mergeCell ref="A10:B10"/>
    <mergeCell ref="C10:E10"/>
    <mergeCell ref="A11:B11"/>
    <mergeCell ref="B57:D57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23622047244094491" right="0.23622047244094491" top="0.15748031496062992" bottom="0" header="0.31496062992125984" footer="0.31496062992125984"/>
  <pageSetup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MKT 101 MAT</vt:lpstr>
      <vt:lpstr>MKT 102 MAT</vt:lpstr>
      <vt:lpstr>MKT 103 MAT</vt:lpstr>
      <vt:lpstr>MKT 105 VESP</vt:lpstr>
      <vt:lpstr>MKT 106 VESP </vt:lpstr>
      <vt:lpstr>MKT 107 VESP </vt:lpstr>
      <vt:lpstr>'MKT 101 MAT'!Área_de_impresión</vt:lpstr>
      <vt:lpstr>'MKT 102 MAT'!Área_de_impresión</vt:lpstr>
      <vt:lpstr>'MKT 103 MAT'!Área_de_impresión</vt:lpstr>
      <vt:lpstr>'MKT 105 VESP'!Área_de_impresión</vt:lpstr>
      <vt:lpstr>'MKT 106 VESP '!Área_de_impresión</vt:lpstr>
      <vt:lpstr>'MKT 107 VESP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2026-08-31T22:52:17Z</dcterms:created>
  <dcterms:modified xsi:type="dcterms:W3CDTF">2026-08-31T22:54:13Z</dcterms:modified>
</cp:coreProperties>
</file>